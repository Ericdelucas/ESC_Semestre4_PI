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5027387\Downloads\"/>
    </mc:Choice>
  </mc:AlternateContent>
  <xr:revisionPtr revIDLastSave="0" documentId="13_ncr:1_{1E808EA3-590E-494C-A7D4-9D928FC8B168}" xr6:coauthVersionLast="36" xr6:coauthVersionMax="47" xr10:uidLastSave="{00000000-0000-0000-0000-000000000000}"/>
  <bookViews>
    <workbookView xWindow="0" yWindow="0" windowWidth="20490" windowHeight="7425" firstSheet="4" activeTab="4" xr2:uid="{892A7F10-1A52-4DC9-A749-8E3D9DDAE5ED}"/>
  </bookViews>
  <sheets>
    <sheet name="Planilha de Validação" sheetId="6" r:id="rId1"/>
    <sheet name="Dicionário de KPIs" sheetId="2" r:id="rId2"/>
    <sheet name="Dados " sheetId="1" r:id="rId3"/>
    <sheet name="Explicação dos cenários" sheetId="7" r:id="rId4"/>
    <sheet name="Dashboard" sheetId="8" r:id="rId5"/>
    <sheet name="Gráfico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8" l="1"/>
  <c r="C20" i="8"/>
  <c r="B21" i="8"/>
  <c r="C21" i="8"/>
  <c r="B22" i="8"/>
  <c r="C22" i="8"/>
  <c r="B10" i="8"/>
  <c r="B9" i="8"/>
</calcChain>
</file>

<file path=xl/sharedStrings.xml><?xml version="1.0" encoding="utf-8"?>
<sst xmlns="http://schemas.openxmlformats.org/spreadsheetml/2006/main" count="778" uniqueCount="348">
  <si>
    <t>Margem EBITDA (%)</t>
  </si>
  <si>
    <t>Margem Líquida (%)</t>
  </si>
  <si>
    <t>ROIC do Projeto (%)</t>
  </si>
  <si>
    <t>Liquidez Corrente</t>
  </si>
  <si>
    <t>Liquidez Seca</t>
  </si>
  <si>
    <t>Liquidez Imediata</t>
  </si>
  <si>
    <t>Endividamento Geral (%)</t>
  </si>
  <si>
    <t>Nome do KPI</t>
  </si>
  <si>
    <t>Categoria</t>
  </si>
  <si>
    <t>Regra de Cálculo / Fórmula Lógica</t>
  </si>
  <si>
    <t>Premissas / Fonte</t>
  </si>
  <si>
    <t>Unidade</t>
  </si>
  <si>
    <t>Interpretação Financeira</t>
  </si>
  <si>
    <t>Receita Total</t>
  </si>
  <si>
    <t>Desempenho</t>
  </si>
  <si>
    <t>Soma do Faturamento (DRE - Receita)</t>
  </si>
  <si>
    <t>Dados da DRE (DRE - Receita)</t>
  </si>
  <si>
    <t>R$</t>
  </si>
  <si>
    <t>Volume bruto total faturado pela operação/concessão no período.</t>
  </si>
  <si>
    <t>Custos Operacionais</t>
  </si>
  <si>
    <t>Eficiência</t>
  </si>
  <si>
    <t>Soma dos Custos Diretos (DRE - Custos)</t>
  </si>
  <si>
    <t>Dados da DRE (DRE - Custos)</t>
  </si>
  <si>
    <t>Consumo de recursos diretos para manter e prestar o serviço.</t>
  </si>
  <si>
    <t>EBITDA / LAJIDA</t>
  </si>
  <si>
    <t>Operacional</t>
  </si>
  <si>
    <t>Soma do Resultado Operacional Bruto (DRE - EBITDA)</t>
  </si>
  <si>
    <t>DRE Operacional (DRE - EBITDA)</t>
  </si>
  <si>
    <t>Capacidade bruta de geração de caixa das atividades operacionais.</t>
  </si>
  <si>
    <t>Margem</t>
  </si>
  <si>
    <t>EBITDA Total / Receita Total</t>
  </si>
  <si>
    <t>Relação EBITDA por Receita</t>
  </si>
  <si>
    <t>%</t>
  </si>
  <si>
    <t>Eficiência operacional (quanto de cada R$ 1,00 de receita vira caixa bruto).</t>
  </si>
  <si>
    <t>Resultado Líquido</t>
  </si>
  <si>
    <t>Rentabilidade</t>
  </si>
  <si>
    <t>Soma do Lucro do Período (DRE - Resultado Líquido)</t>
  </si>
  <si>
    <t>DRE Final (DRE - Resultado Líquido)</t>
  </si>
  <si>
    <t>Lucro líquido final gerado e destinado ao patrimônio dos acionistas.</t>
  </si>
  <si>
    <t>Resultado Líquido / Receita Total</t>
  </si>
  <si>
    <t>Relação Lucro por Receita</t>
  </si>
  <si>
    <t>Percentual da receita convertida em lucro líquido ao final da cadeia.</t>
  </si>
  <si>
    <t>Geração de Caixa</t>
  </si>
  <si>
    <t>Fluxo de Caixa</t>
  </si>
  <si>
    <t>Soma do Saldo do Fluxo (FLU - Geração de Caixa)</t>
  </si>
  <si>
    <t>Fluxo de Caixa (FLU - Geração de Caixa)</t>
  </si>
  <si>
    <t>Variação líquida real do saldo de caixa/disponível no período.</t>
  </si>
  <si>
    <t>CAPEX Investido</t>
  </si>
  <si>
    <t>Investimento</t>
  </si>
  <si>
    <t>Valor absoluto do Investimento (FLU - Investimentos)</t>
  </si>
  <si>
    <t>Fluxo de Caixa (FLU - Investimentos)</t>
  </si>
  <si>
    <t>Total aplicado em ativos imobilizados, intangíveis e outorgas.</t>
  </si>
  <si>
    <t>Criação de Valor</t>
  </si>
  <si>
    <t>Retorno</t>
  </si>
  <si>
    <t>Ativo Total</t>
  </si>
  <si>
    <t>Balanço</t>
  </si>
  <si>
    <t>Soma do Ativo Total (BAL - Total do Ativo)</t>
  </si>
  <si>
    <t>Balanço Patrimonial (BAL - Total do Ativo)</t>
  </si>
  <si>
    <t>Tamanho da estrutura de capitais e bens totais controlados.</t>
  </si>
  <si>
    <t>Patrimônio Líquido</t>
  </si>
  <si>
    <t>Valor absoluto do PL (BAL - Patrimônio Líquido)</t>
  </si>
  <si>
    <t>Valor contábil líquido pertencente aos sócios/acionistas.</t>
  </si>
  <si>
    <t>ROA (%)</t>
  </si>
  <si>
    <t>Resultado Líquido / Ativo Total</t>
  </si>
  <si>
    <t>Retorno sobre Ativos</t>
  </si>
  <si>
    <t>Eficiência da empresa em rentabilizar o total de ativos investidos.</t>
  </si>
  <si>
    <t>Passivo Circulante</t>
  </si>
  <si>
    <t>Liquidez</t>
  </si>
  <si>
    <t>Balanço (BAL - Passivo Circulante)</t>
  </si>
  <si>
    <t>Obrigações financeiras e operacionais de curto prazo.</t>
  </si>
  <si>
    <t>Novos Clientes Simulados</t>
  </si>
  <si>
    <t>(Receita Total / 100.000) arredondado</t>
  </si>
  <si>
    <t>Premissa: 1 cliente a cada R$ 100k de receita</t>
  </si>
  <si>
    <t>Base fictícia de clientes para cálculo de métricas de aquisição comercial.</t>
  </si>
  <si>
    <t>Investimento Mkt &amp; Vendas</t>
  </si>
  <si>
    <t>Comercial</t>
  </si>
  <si>
    <t>Receita Total * 2%</t>
  </si>
  <si>
    <t>Premissa gerencial: 2% do faturamento</t>
  </si>
  <si>
    <t>Orçamento simulado de aquisição e atração de novos clientes.</t>
  </si>
  <si>
    <t>CAC Simulado</t>
  </si>
  <si>
    <t>Aquisição</t>
  </si>
  <si>
    <t>Investimento Mkt / Novos Clientes</t>
  </si>
  <si>
    <t>Custo Mkt / Novos Clientes</t>
  </si>
  <si>
    <t>LTV Simulado</t>
  </si>
  <si>
    <t>Retenção</t>
  </si>
  <si>
    <t>LTV / CAC</t>
  </si>
  <si>
    <t>LTV Simulado / CAC Simulado</t>
  </si>
  <si>
    <t>Relação de Sustentabilidade</t>
  </si>
  <si>
    <t>x</t>
  </si>
  <si>
    <t>Ativo Circulante / Passivo Circulante</t>
  </si>
  <si>
    <t>Balanço Patrimonial</t>
  </si>
  <si>
    <t>Capacidade de pagamento de obrigações de curto prazo.</t>
  </si>
  <si>
    <t>(Ativo Circulante - Estoques) / Passivo Circulante</t>
  </si>
  <si>
    <t>Disponibilidades / Passivo Circulante</t>
  </si>
  <si>
    <t>Endividamento</t>
  </si>
  <si>
    <t>Passivo Total / Ativo Total</t>
  </si>
  <si>
    <t>Composição do Endividamento (%)</t>
  </si>
  <si>
    <t>Passivo Circulante / Passivo Total</t>
  </si>
  <si>
    <t>EVA (Economic Value Added)</t>
  </si>
  <si>
    <t>NOPAT - (Capital Investido * WACC)</t>
  </si>
  <si>
    <t>DRE e Balanço</t>
  </si>
  <si>
    <t>Ano</t>
  </si>
  <si>
    <t>Conta</t>
  </si>
  <si>
    <t>Cena</t>
  </si>
  <si>
    <t>Valor</t>
  </si>
  <si>
    <t>Ano 1</t>
  </si>
  <si>
    <t>BAL - Total do Ativo</t>
  </si>
  <si>
    <t>Total Cen_00013</t>
  </si>
  <si>
    <t>BAL - Ativo Circulante</t>
  </si>
  <si>
    <t>BAL - Disponível</t>
  </si>
  <si>
    <t>BAL - Contas a Receber - SWAP</t>
  </si>
  <si>
    <t>BAL - Contas a Receber - Partes Relacionadas</t>
  </si>
  <si>
    <t>BAL - Contas a Receber - Clientes</t>
  </si>
  <si>
    <t>BAL - Estoques Diversos</t>
  </si>
  <si>
    <t>BAL - Outros Créditos</t>
  </si>
  <si>
    <t>BAL - Realizável a Longo Prazo</t>
  </si>
  <si>
    <t>BAL - At Fiscal Diferido</t>
  </si>
  <si>
    <t>BAL - Créditos Tributários</t>
  </si>
  <si>
    <t>BAL - Outorga da Concessão</t>
  </si>
  <si>
    <t>BAL - Outros Créditos LP</t>
  </si>
  <si>
    <t>BAL - Permanente</t>
  </si>
  <si>
    <t>BAL - Investimentos - Imobilizado</t>
  </si>
  <si>
    <t>BAL - Investimentos - Intangível</t>
  </si>
  <si>
    <t>BAL - Diferido</t>
  </si>
  <si>
    <t>BAL - Depreciação Acumulada</t>
  </si>
  <si>
    <t>BAL - Amortização Acumulada</t>
  </si>
  <si>
    <t>BAL - Amortização - Intangível</t>
  </si>
  <si>
    <t>BAL - Total do Passivo</t>
  </si>
  <si>
    <t>BAL - Passivo Circulante</t>
  </si>
  <si>
    <t>BAL - Empréstimos</t>
  </si>
  <si>
    <t>BAL - Contas a Pagar - Parte Relacionada</t>
  </si>
  <si>
    <t>BAL - Fornecedores</t>
  </si>
  <si>
    <t>BAL - Encargos Sociais e Trabalhistas</t>
  </si>
  <si>
    <t>BAL - Tributos a pagar</t>
  </si>
  <si>
    <t>BAL - Impostos</t>
  </si>
  <si>
    <t>BAL - Obrigações com o Poder Concedente</t>
  </si>
  <si>
    <t>BAL - Outros Débitos</t>
  </si>
  <si>
    <t>BAL - Provisão Manutenção</t>
  </si>
  <si>
    <t>BAL - Exigível a Longo Prazo</t>
  </si>
  <si>
    <t>BAL - Emprést</t>
  </si>
  <si>
    <t>BAL - Prov para Contingências</t>
  </si>
  <si>
    <t>BAL - Outros deb</t>
  </si>
  <si>
    <t>BAL - Patrimônio Líquido</t>
  </si>
  <si>
    <t>BAL - Capital Social</t>
  </si>
  <si>
    <t>BAL - Reservas de Capital</t>
  </si>
  <si>
    <t>BAL - Reservas Legais</t>
  </si>
  <si>
    <t>BAL - Reserva de Retenção de Lucros</t>
  </si>
  <si>
    <t>BAL - Resultado Acumulado</t>
  </si>
  <si>
    <t>BAL - Resultado do Período</t>
  </si>
  <si>
    <t>DRE - Receita</t>
  </si>
  <si>
    <t>DRE - Tributos</t>
  </si>
  <si>
    <t>DRE - Custos</t>
  </si>
  <si>
    <t>DRE - Depreciação e Amortização</t>
  </si>
  <si>
    <t>DRE - Resultado Operacional</t>
  </si>
  <si>
    <t>DRE - Receitas Financeiras</t>
  </si>
  <si>
    <t>DRE - Despesas Financeiras</t>
  </si>
  <si>
    <t>DRE - Resultado Financeiro</t>
  </si>
  <si>
    <t>DRE - Outros Resultados Operacionais</t>
  </si>
  <si>
    <t>DRE - Resultado Antes do Imposto de Renda</t>
  </si>
  <si>
    <t>DRE - Imposto de Renda e Contribuição Social</t>
  </si>
  <si>
    <t>DRE - Resultado Líquido</t>
  </si>
  <si>
    <t>DRE - Resultado Líquido após Equivalência</t>
  </si>
  <si>
    <t>DRE - EBITDA</t>
  </si>
  <si>
    <t>FLU - Saldo Inicial</t>
  </si>
  <si>
    <t>FLU - Receita</t>
  </si>
  <si>
    <t>FLU - Tributos</t>
  </si>
  <si>
    <t>FLU - Custos</t>
  </si>
  <si>
    <t>FLU - Investimentos</t>
  </si>
  <si>
    <t>FLU - Entradas</t>
  </si>
  <si>
    <t>FLU - Despesas Financeiras</t>
  </si>
  <si>
    <t>FLU - Resultado Financeiro</t>
  </si>
  <si>
    <t>FLU - Imposto de Renda e Contribuição Social</t>
  </si>
  <si>
    <t>FLU - Distribuição para Acionista</t>
  </si>
  <si>
    <t>FLU - Geração de Caixa</t>
  </si>
  <si>
    <t>FLU - Saldo Final</t>
  </si>
  <si>
    <t>Total Cen_00065</t>
  </si>
  <si>
    <t>Linha / Item</t>
  </si>
  <si>
    <t>Cenário Ruim (00013)</t>
  </si>
  <si>
    <t>Cenário Bom (00065)</t>
  </si>
  <si>
    <t>1. DRE</t>
  </si>
  <si>
    <t>(=) Valor Adicionado Bruto (MVA R$)</t>
  </si>
  <si>
    <t>MVA % (Margem de Valor Agregado)</t>
  </si>
  <si>
    <t>Margem de Contribuição (%)</t>
  </si>
  <si>
    <t>Razão LTV / CAC</t>
  </si>
  <si>
    <t>MVA / Valor Adicionado (R$)</t>
  </si>
  <si>
    <t>Receita Líquida - Custos de Insumos e Terceiros</t>
  </si>
  <si>
    <t>Quantidade de riqueza em valor monetário que a operação efetivamente criou sobre os insumos adquiridos.</t>
  </si>
  <si>
    <t>Receita Bruta</t>
  </si>
  <si>
    <t>(-) Deduções e Impostos sobre Vendas</t>
  </si>
  <si>
    <t>(=) Receita Líquida</t>
  </si>
  <si>
    <t>(-) Outros Custos Variáveis Diretos</t>
  </si>
  <si>
    <t>Variação Absoluta</t>
  </si>
  <si>
    <t>(-) Despesas Fixas / Operacionais</t>
  </si>
  <si>
    <t>(=) EBITDA / Lucro Operacional</t>
  </si>
  <si>
    <t>Ponto de Equilíbrio (R$)</t>
  </si>
  <si>
    <t>LTV (Lifetime Value)</t>
  </si>
  <si>
    <t>Métrica / Conta / KPI</t>
  </si>
  <si>
    <t>(-) Custos com Insumos / Terceiros</t>
  </si>
  <si>
    <t>(=) Margem de Contribuição (R$)</t>
  </si>
  <si>
    <t>2. SIMULAÇÃO</t>
  </si>
  <si>
    <t>Investimento em Vendas e Mkt (R$)</t>
  </si>
  <si>
    <t>Novos Clientes Adquiridos (un)</t>
  </si>
  <si>
    <t>Ticket Médio por Cliente (R$)</t>
  </si>
  <si>
    <t>Tempo Médio de Retenção (Meses)</t>
  </si>
  <si>
    <t>3. KPIS</t>
  </si>
  <si>
    <t>CAC (Custo de Aquisição)</t>
  </si>
  <si>
    <t>Variação (%) / p.p.</t>
  </si>
  <si>
    <t>+1,5 p.p.</t>
  </si>
  <si>
    <t>-</t>
  </si>
  <si>
    <t>+1,3 p.p.</t>
  </si>
  <si>
    <t>+14,8 p.p.</t>
  </si>
  <si>
    <t>120,0x</t>
  </si>
  <si>
    <t>450,0x</t>
  </si>
  <si>
    <t>+330,0x</t>
  </si>
  <si>
    <t>DRE Operacional (Contas de Receita e Custos Diretos)</t>
  </si>
  <si>
    <t>NOPAT / Capital Investido Total</t>
  </si>
  <si>
    <t>DRE e Balanço (NOPAT e Passivo Oneroso + PL)</t>
  </si>
  <si>
    <t>Mede o retorno percentual gerado pelo capital total investido pelos credores e acionistas na operação.</t>
  </si>
  <si>
    <t>Balanço Patrimonial (BAL - Patrimônio Líquido)</t>
  </si>
  <si>
    <t>Valor absoluto do Passivo Curto Prazo</t>
  </si>
  <si>
    <t>un</t>
  </si>
  <si>
    <t>Custo médio estimado para atrair e adquirir cada novo cliente.</t>
  </si>
  <si>
    <t>Ticket Médio x Tempo Médio de Retenção (meses)</t>
  </si>
  <si>
    <t>Premissa Comercial / CRM</t>
  </si>
  <si>
    <t>Valor financeiro total gerado por um cliente ao longo do seu ciclo de vida útil.</t>
  </si>
  <si>
    <t>Múltiplo de retorno do investimento de aquisição comercial (Meta gerencial &gt;= 3,0x).</t>
  </si>
  <si>
    <t>Capacidade de pagamento de curto prazo sem depender da venda de estoques.</t>
  </si>
  <si>
    <t>Capacidade de liquidação imediata de dívidas de curto prazo apenas com recursos em caixa/banco.</t>
  </si>
  <si>
    <t>Percentual dos ativos totais da empresa financiados por capital de terceiros.</t>
  </si>
  <si>
    <t>Proporção da dívida total exigível que vence no curto prazo.</t>
  </si>
  <si>
    <t>Lucro operacional real gerado acima do custo de oportunidade do capital investido.</t>
  </si>
  <si>
    <t>Cenário Ruim</t>
  </si>
  <si>
    <t>Cenário Bom</t>
  </si>
  <si>
    <t>Liquidez Corrente (LC)</t>
  </si>
  <si>
    <t>1,01x</t>
  </si>
  <si>
    <t>0,00x</t>
  </si>
  <si>
    <t>Liquidez Seca (LS)</t>
  </si>
  <si>
    <t>1,00x</t>
  </si>
  <si>
    <t>+0,01x</t>
  </si>
  <si>
    <t>Liquidez Imediata (LI)</t>
  </si>
  <si>
    <t>0,71x</t>
  </si>
  <si>
    <t>0,68x</t>
  </si>
  <si>
    <t>-0,03x</t>
  </si>
  <si>
    <t>Liquidez Geral (LG)</t>
  </si>
  <si>
    <t>0,26x</t>
  </si>
  <si>
    <t>Part. de Capital de Terceiros (PCT)</t>
  </si>
  <si>
    <t>2,59x</t>
  </si>
  <si>
    <t>3,28x</t>
  </si>
  <si>
    <t>+0,69x</t>
  </si>
  <si>
    <t>Composição do Endividamento (CE)</t>
  </si>
  <si>
    <t>0,00 p.p.</t>
  </si>
  <si>
    <t>Passivo Exigível Total</t>
  </si>
  <si>
    <t>NOPAT</t>
  </si>
  <si>
    <t>Capital Investido Total</t>
  </si>
  <si>
    <t>ROIC (%)</t>
  </si>
  <si>
    <t>+3,88 p.p.</t>
  </si>
  <si>
    <t>4. LIQUIDEZ</t>
  </si>
  <si>
    <t>5. ENDIVIDAMENTO</t>
  </si>
  <si>
    <t>6. EVA &amp; RETORNO</t>
  </si>
  <si>
    <r>
      <t xml:space="preserve">Por que escolhi estes dados?  </t>
    </r>
    <r>
      <rPr>
        <sz val="11"/>
        <color theme="1"/>
        <rFont val="Aptos Narrow"/>
        <family val="2"/>
        <scheme val="minor"/>
      </rPr>
      <t>Escolhi o Cenário Ruim (00013) e o Cenário Bom (00065) para comparar como a gestão de custos, a eficiência comercial, o uso do capital e a saúde financeira mudam o resultado da empresa. O Cenário Ruim reflete uma operação com despesas altas, baixa retenção de clientes e maior necessidade de capital investido. O Cenário Bom mostra uma operação otimizado, com custos controlados, clientes mais rentáveis, melhor retorno financeiro e maior geração de valor real.</t>
    </r>
  </si>
  <si>
    <r>
      <t>O que eu esperava e o que a planilha provou?
-Faturar mais não significa lucrar mais:</t>
    </r>
    <r>
      <rPr>
        <sz val="11"/>
        <color theme="1"/>
        <rFont val="Aptos Narrow"/>
        <family val="2"/>
        <scheme val="minor"/>
      </rPr>
      <t xml:space="preserve"> O Cenário Bom faturou praticamente a mesma coisa em Receita Bruta que o Cenário Ruim (-0,18%), mas gerou R$ 897 milhões a mais de EBITDA (+37,77%). O lucro vem do controle de despesas, não só do volume de vendas.</t>
    </r>
    <r>
      <rPr>
        <b/>
        <sz val="11"/>
        <color theme="1"/>
        <rFont val="Aptos Narrow"/>
        <family val="2"/>
        <scheme val="minor"/>
      </rPr>
      <t xml:space="preserve">
-Menos risco para a operação: </t>
    </r>
    <r>
      <rPr>
        <sz val="11"/>
        <color theme="1"/>
        <rFont val="Aptos Narrow"/>
        <family val="2"/>
        <scheme val="minor"/>
      </rPr>
      <t>No Cenário Bom, o Ponto de Equilíbrio caiu 45,7% (de R$ 2,67 bilhões para R$ 1,45 bilhão). A empresa precisa faturar muito menos para começar a ter lucro.</t>
    </r>
    <r>
      <rPr>
        <b/>
        <sz val="11"/>
        <color theme="1"/>
        <rFont val="Aptos Narrow"/>
        <family val="2"/>
        <scheme val="minor"/>
      </rPr>
      <t xml:space="preserve">
-Mais eficiência nas vendas: </t>
    </r>
    <r>
      <rPr>
        <sz val="11"/>
        <color theme="1"/>
        <rFont val="Aptos Narrow"/>
        <family val="2"/>
        <scheme val="minor"/>
      </rPr>
      <t>No Cenário Bom, investir R$ 10 milhões a mais em Marketing reduziu o custo de atração de cada cliente (CAC caiu de R$ 150 para R$ 80) e aumentou o retorno total por cliente (LTV subiu para R$ 36.000).</t>
    </r>
    <r>
      <rPr>
        <b/>
        <sz val="11"/>
        <color theme="1"/>
        <rFont val="Aptos Narrow"/>
        <family val="2"/>
        <scheme val="minor"/>
      </rPr>
      <t xml:space="preserve">
-Capacidade de pagamento estável (Liquidez):</t>
    </r>
    <r>
      <rPr>
        <sz val="11"/>
        <color theme="1"/>
        <rFont val="Aptos Narrow"/>
        <family val="2"/>
        <scheme val="minor"/>
      </rPr>
      <t xml:space="preserve"> A liquidez de curto prazo manteve-se equilibrada e segura em ambos os cenários (acima de 1,0x), mostrando que a empresa consegue honrar seus compromissos imediatos.</t>
    </r>
    <r>
      <rPr>
        <b/>
        <sz val="11"/>
        <color theme="1"/>
        <rFont val="Aptos Narrow"/>
        <family val="2"/>
        <scheme val="minor"/>
      </rPr>
      <t xml:space="preserve">
-Endividamento sob controlo e de longo prazo: </t>
    </r>
    <r>
      <rPr>
        <sz val="11"/>
        <color theme="1"/>
        <rFont val="Aptos Narrow"/>
        <family val="2"/>
        <scheme val="minor"/>
      </rPr>
      <t>O valor total das dívidas permaneceu exatamente o mesmo nos dois cenários. A maioria dos débitos continua concentrada no longo prazo (apenas 19,3% vence no curto prazo), garantindo folga financeira para a operação.</t>
    </r>
    <r>
      <rPr>
        <b/>
        <sz val="11"/>
        <color theme="1"/>
        <rFont val="Aptos Narrow"/>
        <family val="2"/>
        <scheme val="minor"/>
      </rPr>
      <t xml:space="preserve">
-Maior criação de valor e retorno (EVA e ROIC): </t>
    </r>
    <r>
      <rPr>
        <sz val="11"/>
        <color theme="1"/>
        <rFont val="Aptos Narrow"/>
        <family val="2"/>
        <scheme val="minor"/>
      </rPr>
      <t xml:space="preserve">O Cenário Bom provou ser muito mais eficiente ao precisar de menos capital para rodar o negócio. O retorno sobre o capital investido (ROIC) aumentou 3,88 pontos percentuais (chegando a 39,67%) e o EVA (lucro económico real) subiu 6,45% (+R$ 120 milhões), mostrando que a operação gera mais riqueza com menor recurso alocado.  </t>
    </r>
  </si>
  <si>
    <t>Indicador / KPI</t>
  </si>
  <si>
    <t>Variação (%)</t>
  </si>
  <si>
    <t>Fórmula/Linha na 'Planilha de Validação'</t>
  </si>
  <si>
    <t>Receita Líquida</t>
  </si>
  <si>
    <r>
      <t>=</t>
    </r>
    <r>
      <rPr>
        <sz val="11"/>
        <color rgb="FF1F1F1F"/>
        <rFont val="Google Sans Text"/>
        <family val="2"/>
      </rPr>
      <t>'Planilha de Validação'!C3</t>
    </r>
    <r>
      <rPr>
        <sz val="11"/>
        <color rgb="FF1F1F1F"/>
        <rFont val="Arial"/>
        <family val="2"/>
      </rPr>
      <t xml:space="preserve"> (linha 3 da DRE)</t>
    </r>
  </si>
  <si>
    <t>Margem de Contribuição</t>
  </si>
  <si>
    <r>
      <t>=</t>
    </r>
    <r>
      <rPr>
        <sz val="11"/>
        <color rgb="FF1F1F1F"/>
        <rFont val="Google Sans Text"/>
        <family val="2"/>
      </rPr>
      <t>'Planilha de Validação'!C7</t>
    </r>
    <r>
      <rPr>
        <sz val="11"/>
        <color rgb="FF1F1F1F"/>
        <rFont val="Arial"/>
        <family val="2"/>
      </rPr>
      <t xml:space="preserve"> (linha 7 da DRE)</t>
    </r>
  </si>
  <si>
    <t>EBITDA / Lucro Operacional</t>
  </si>
  <si>
    <r>
      <t>=</t>
    </r>
    <r>
      <rPr>
        <sz val="11"/>
        <color rgb="FF1F1F1F"/>
        <rFont val="Google Sans Text"/>
        <family val="2"/>
      </rPr>
      <t>'Planilha de Validação'!C9</t>
    </r>
    <r>
      <rPr>
        <sz val="11"/>
        <color rgb="FF1F1F1F"/>
        <rFont val="Arial"/>
        <family val="2"/>
      </rPr>
      <t xml:space="preserve"> (linha 9 da DRE)</t>
    </r>
  </si>
  <si>
    <t>+14,81 p.p.</t>
  </si>
  <si>
    <r>
      <t>=</t>
    </r>
    <r>
      <rPr>
        <sz val="11"/>
        <color rgb="FF1F1F1F"/>
        <rFont val="Google Sans Text"/>
        <family val="2"/>
      </rPr>
      <t>'Planilha de Validação'!C16</t>
    </r>
    <r>
      <rPr>
        <sz val="11"/>
        <color rgb="FF1F1F1F"/>
        <rFont val="Arial"/>
        <family val="2"/>
      </rPr>
      <t xml:space="preserve"> (linha 16 da simulação)</t>
    </r>
  </si>
  <si>
    <t>SIMULAÇÃO DE SENSIBILIDADE (IMPACTO DE DESCONTO)</t>
  </si>
  <si>
    <t>Taxa de Desconto / Cupom</t>
  </si>
  <si>
    <t>Receita Líquida Ajustada</t>
  </si>
  <si>
    <t>Margem de Contribuição Ajustada</t>
  </si>
  <si>
    <t>Indicador</t>
  </si>
  <si>
    <t>Formatação da Célula</t>
  </si>
  <si>
    <t>Ticket Médio por Cliente</t>
  </si>
  <si>
    <r>
      <t>Moeda (</t>
    </r>
    <r>
      <rPr>
        <sz val="11"/>
        <color rgb="FF1F1F1F"/>
        <rFont val="Google Sans Text"/>
        <family val="2"/>
      </rPr>
      <t>R$</t>
    </r>
    <r>
      <rPr>
        <sz val="11"/>
        <color rgb="FF1F1F1F"/>
        <rFont val="Arial"/>
        <family val="2"/>
      </rPr>
      <t>)</t>
    </r>
  </si>
  <si>
    <t>Novos Clientes Adquiridos</t>
  </si>
  <si>
    <r>
      <t xml:space="preserve">Número com separador de milhar (sem </t>
    </r>
    <r>
      <rPr>
        <sz val="11"/>
        <color rgb="FF1F1F1F"/>
        <rFont val="Google Sans Text"/>
        <family val="2"/>
      </rPr>
      <t>R$</t>
    </r>
    <r>
      <rPr>
        <sz val="11"/>
        <color rgb="FF1F1F1F"/>
        <rFont val="Arial"/>
        <family val="2"/>
      </rPr>
      <t>)</t>
    </r>
  </si>
  <si>
    <t>Investimento em Vendas e Mkt</t>
  </si>
  <si>
    <t>Razão LTV / CAC (Retorno)</t>
  </si>
  <si>
    <r>
      <t>Número / Texto (</t>
    </r>
    <r>
      <rPr>
        <sz val="11"/>
        <color rgb="FF1F1F1F"/>
        <rFont val="Google Sans Text"/>
        <family val="2"/>
      </rPr>
      <t>x</t>
    </r>
    <r>
      <rPr>
        <sz val="11"/>
        <color rgb="FF1F1F1F"/>
        <rFont val="Arial"/>
        <family val="2"/>
      </rPr>
      <t>)</t>
    </r>
  </si>
  <si>
    <t>ROIC (%) (Retorno sobre Capital Investido)</t>
  </si>
  <si>
    <t>Geração Operacional de Caixa (FCO)</t>
  </si>
  <si>
    <t>Fluxo de Caixa Livre para a Empresa (FCFF)</t>
  </si>
  <si>
    <t>Fluxo de Caixa do Acionista (FCFE)</t>
  </si>
  <si>
    <t>Geração Líquida de Caixa (Variação)</t>
  </si>
  <si>
    <t>Cobertura de Despesas Financeiras pelo FCO</t>
  </si>
  <si>
    <t>5,17x</t>
  </si>
  <si>
    <t>5,26x</t>
  </si>
  <si>
    <t>+0,09x</t>
  </si>
  <si>
    <t>Índice de Reinvestimento (CAPEX / FCO)</t>
  </si>
  <si>
    <t>Índices da DFC (Fluxo de Caixa)</t>
  </si>
  <si>
    <t>Capital de Giro Líquido (CCL / CGL)</t>
  </si>
  <si>
    <t>Necessidade de Capital de Giro (NCG)</t>
  </si>
  <si>
    <t>Saldo de Tesouraria (ST = CCL - NCG)</t>
  </si>
  <si>
    <t>Prazo Médio de Recebimento (PMR)</t>
  </si>
  <si>
    <t>24,6 dias</t>
  </si>
  <si>
    <t>0,0 dias</t>
  </si>
  <si>
    <t>Prazo Médio de Pagamento (PMP)</t>
  </si>
  <si>
    <t>17,2 dias</t>
  </si>
  <si>
    <t>Prazo Médio de Estocagem (PME)</t>
  </si>
  <si>
    <t>0,02 dias</t>
  </si>
  <si>
    <t>Ciclo Operacional (CO = PMR + PME)</t>
  </si>
  <si>
    <t>24,62 dias</t>
  </si>
  <si>
    <t>Ciclo Financeiro / de Caixa (CC = CO - PMP)</t>
  </si>
  <si>
    <t>7,37 dias</t>
  </si>
  <si>
    <t>Índices de Capital de Giro e Ciclos</t>
  </si>
  <si>
    <t>Linha / Atividade da DFC</t>
  </si>
  <si>
    <t>(+) Saldo Inicial de Caixa</t>
  </si>
  <si>
    <t>1. Fluxo de Caixa Operacional (FCO)</t>
  </si>
  <si>
    <t>Recebimento de Clientes / Operacional</t>
  </si>
  <si>
    <t>(-) Pagamento a Fornecedores e Custos</t>
  </si>
  <si>
    <t>(-) Pagamento de Impostos Operacionais</t>
  </si>
  <si>
    <t>2. Fluxo de Caixa de Investimento (FCI)</t>
  </si>
  <si>
    <t>(-) Investimentos em Imobilizado e Intangível (CAPEX)</t>
  </si>
  <si>
    <t>3. Fluxo de Caixa de Financiamento (FCF)</t>
  </si>
  <si>
    <t>(+) Entradas Financeiras</t>
  </si>
  <si>
    <t>(-) Despesas Financeiras Pagas</t>
  </si>
  <si>
    <t>(-) Imposto de Renda e CSLL Pagos</t>
  </si>
  <si>
    <t>(-) Dividendos / Distribuição a Acionistas</t>
  </si>
  <si>
    <t>(=) Geração Líquida de Caixa no Período</t>
  </si>
  <si>
    <t>(=) Saldo Final de Caixa e Equivalentes</t>
  </si>
  <si>
    <t>Demonstração do Valor Adicionado (DVA)</t>
  </si>
  <si>
    <t>Demonstração do Fluxo de Caixa (DFC)</t>
  </si>
  <si>
    <t>Componente da DVA</t>
  </si>
  <si>
    <t>1. RECEITAS</t>
  </si>
  <si>
    <t>Vendas de Mercadorias e Serviços</t>
  </si>
  <si>
    <t>Outras Receitas Operacionais</t>
  </si>
  <si>
    <t>2. INSUMOS ADQUIRIDOS DE TERCEIROS</t>
  </si>
  <si>
    <t>Custos dos Serviços / Materiais e Insumos</t>
  </si>
  <si>
    <t>3. VALOR ADICIONADO BRUTO (1 - 2)</t>
  </si>
  <si>
    <t>4. RETENÇÕES (Depreciação e Amortização)</t>
  </si>
  <si>
    <t>5. VALOR ADICIONADO LÍQUIDO (3 - 4)</t>
  </si>
  <si>
    <t>6. VALOR ADICIONADO RECEBIDO EM TRANSFERÊNCIA</t>
  </si>
  <si>
    <t>Receitas Financeiras</t>
  </si>
  <si>
    <t>7. TOTAL DO VALOR ADICIONADO A DISTRIBUIR (5 + 6)</t>
  </si>
  <si>
    <t>8. DISTRIBUIÇÃO DO VALOR ADICIONADO</t>
  </si>
  <si>
    <t>Impostos, Taxas e Contribuições (Governo)</t>
  </si>
  <si>
    <t>% do Total Distribuído</t>
  </si>
  <si>
    <t>+0,10 p.p.</t>
  </si>
  <si>
    <t>Remuneração de Capitais de Terceiros (Juros/Aluguéis)</t>
  </si>
  <si>
    <t>-0,30 p.p.</t>
  </si>
  <si>
    <t>Remuneração de Capitais Próprios (Acionistas/Lucro)</t>
  </si>
  <si>
    <t>+0,20 p.p.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</si>
</sst>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rgb="FF1F1F1F"/>
      <name val="Aptos Narrow"/>
      <family val="2"/>
      <scheme val="minor"/>
    </font>
    <font>
      <sz val="14"/>
      <color rgb="FF1F1F1F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rgb="FF1F1F1F"/>
      <name val="Google Sans Text"/>
      <family val="2"/>
    </font>
    <font>
      <i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8" tint="0.79998168889431442"/>
      </bottom>
      <diagonal/>
    </border>
    <border>
      <left style="medium">
        <color theme="1"/>
      </left>
      <right style="medium">
        <color theme="1"/>
      </right>
      <top/>
      <bottom style="thin">
        <color theme="8" tint="0.79998168889431442"/>
      </bottom>
      <diagonal/>
    </border>
    <border>
      <left style="medium">
        <color theme="1"/>
      </left>
      <right style="medium">
        <color theme="1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8" tint="0.79998168889431442"/>
      </top>
      <bottom style="medium">
        <color theme="8" tint="0.7999816888943144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8" tint="0.79998168889431442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theme="8" tint="0.79998168889431442"/>
      </bottom>
      <diagonal/>
    </border>
    <border>
      <left style="medium">
        <color indexed="64"/>
      </left>
      <right style="medium">
        <color theme="1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indexed="64"/>
      </left>
      <right style="medium">
        <color theme="1"/>
      </right>
      <top/>
      <bottom style="thin">
        <color theme="8" tint="0.79998168889431442"/>
      </bottom>
      <diagonal/>
    </border>
    <border>
      <left style="medium">
        <color indexed="64"/>
      </left>
      <right style="medium">
        <color theme="1"/>
      </right>
      <top style="thin">
        <color theme="8" tint="0.79998168889431442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Font="1"/>
    <xf numFmtId="0" fontId="0" fillId="0" borderId="11" xfId="0" applyFont="1" applyBorder="1" applyAlignment="1">
      <alignment wrapText="1"/>
    </xf>
    <xf numFmtId="0" fontId="0" fillId="0" borderId="6" xfId="0" applyFont="1" applyBorder="1" applyAlignment="1">
      <alignment wrapText="1"/>
    </xf>
    <xf numFmtId="164" fontId="0" fillId="0" borderId="7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2" xfId="0" applyFont="1" applyBorder="1" applyAlignment="1">
      <alignment wrapText="1"/>
    </xf>
    <xf numFmtId="164" fontId="0" fillId="0" borderId="8" xfId="0" applyNumberFormat="1" applyFont="1" applyBorder="1" applyAlignment="1">
      <alignment wrapText="1"/>
    </xf>
    <xf numFmtId="0" fontId="0" fillId="0" borderId="28" xfId="0" applyFont="1" applyBorder="1" applyAlignment="1">
      <alignment wrapText="1"/>
    </xf>
    <xf numFmtId="0" fontId="0" fillId="0" borderId="29" xfId="0" applyFont="1" applyBorder="1" applyAlignment="1">
      <alignment wrapText="1"/>
    </xf>
    <xf numFmtId="164" fontId="0" fillId="0" borderId="30" xfId="0" applyNumberFormat="1" applyFont="1" applyBorder="1" applyAlignment="1">
      <alignment wrapText="1"/>
    </xf>
    <xf numFmtId="0" fontId="4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5" fillId="0" borderId="8" xfId="0" applyFont="1" applyBorder="1" applyAlignment="1">
      <alignment horizontal="left" vertical="center" wrapText="1" indent="1" readingOrder="1"/>
    </xf>
    <xf numFmtId="0" fontId="5" fillId="0" borderId="9" xfId="0" applyFont="1" applyBorder="1" applyAlignment="1">
      <alignment horizontal="left" vertical="center" wrapText="1" indent="1" readingOrder="1"/>
    </xf>
    <xf numFmtId="0" fontId="5" fillId="0" borderId="10" xfId="0" applyFont="1" applyBorder="1" applyAlignment="1">
      <alignment horizontal="left" vertical="center" wrapText="1" indent="1" readingOrder="1"/>
    </xf>
    <xf numFmtId="0" fontId="5" fillId="0" borderId="29" xfId="0" applyFont="1" applyBorder="1" applyAlignment="1">
      <alignment horizontal="left" vertical="center" wrapText="1" indent="1" readingOrder="1"/>
    </xf>
    <xf numFmtId="0" fontId="5" fillId="0" borderId="30" xfId="0" applyFont="1" applyBorder="1" applyAlignment="1">
      <alignment horizontal="left" vertical="center" wrapText="1" indent="1" readingOrder="1"/>
    </xf>
    <xf numFmtId="0" fontId="5" fillId="0" borderId="28" xfId="0" applyFont="1" applyBorder="1" applyAlignment="1">
      <alignment horizontal="left" vertical="center" wrapText="1" indent="1" readingOrder="1"/>
    </xf>
    <xf numFmtId="0" fontId="5" fillId="0" borderId="12" xfId="0" applyFont="1" applyBorder="1" applyAlignment="1">
      <alignment horizontal="left" vertical="center" wrapText="1" indent="1" readingOrder="1"/>
    </xf>
    <xf numFmtId="0" fontId="5" fillId="0" borderId="13" xfId="0" applyFont="1" applyBorder="1" applyAlignment="1">
      <alignment horizontal="left" vertical="center" wrapText="1" indent="1" readingOrder="1"/>
    </xf>
    <xf numFmtId="0" fontId="2" fillId="0" borderId="37" xfId="0" applyFont="1" applyBorder="1" applyAlignment="1">
      <alignment horizontal="left" vertical="center" wrapText="1" indent="1" readingOrder="1"/>
    </xf>
    <xf numFmtId="8" fontId="1" fillId="0" borderId="37" xfId="0" applyNumberFormat="1" applyFont="1" applyBorder="1" applyAlignment="1">
      <alignment horizontal="left" vertical="center" wrapText="1" indent="1" readingOrder="1"/>
    </xf>
    <xf numFmtId="8" fontId="2" fillId="0" borderId="37" xfId="0" applyNumberFormat="1" applyFont="1" applyBorder="1" applyAlignment="1">
      <alignment horizontal="left" vertical="center" wrapText="1" indent="1" readingOrder="1"/>
    </xf>
    <xf numFmtId="10" fontId="2" fillId="0" borderId="37" xfId="0" applyNumberFormat="1" applyFont="1" applyBorder="1" applyAlignment="1">
      <alignment horizontal="left" vertical="center" wrapText="1" indent="1" readingOrder="1"/>
    </xf>
    <xf numFmtId="0" fontId="2" fillId="0" borderId="39" xfId="0" applyFont="1" applyBorder="1" applyAlignment="1">
      <alignment horizontal="left" vertical="center" wrapText="1" indent="1" readingOrder="1"/>
    </xf>
    <xf numFmtId="0" fontId="1" fillId="0" borderId="39" xfId="0" applyFont="1" applyBorder="1" applyAlignment="1">
      <alignment horizontal="left" vertical="center" wrapText="1" indent="1" readingOrder="1"/>
    </xf>
    <xf numFmtId="10" fontId="1" fillId="0" borderId="40" xfId="0" applyNumberFormat="1" applyFont="1" applyBorder="1" applyAlignment="1">
      <alignment horizontal="left" vertical="center" wrapText="1" indent="1" readingOrder="1"/>
    </xf>
    <xf numFmtId="10" fontId="2" fillId="0" borderId="40" xfId="0" applyNumberFormat="1" applyFont="1" applyBorder="1" applyAlignment="1">
      <alignment horizontal="left" vertical="center" wrapText="1" indent="1" readingOrder="1"/>
    </xf>
    <xf numFmtId="0" fontId="1" fillId="0" borderId="40" xfId="0" applyFont="1" applyBorder="1" applyAlignment="1">
      <alignment horizontal="left" vertical="center" wrapText="1" indent="1" readingOrder="1"/>
    </xf>
    <xf numFmtId="0" fontId="2" fillId="0" borderId="41" xfId="0" applyFont="1" applyBorder="1" applyAlignment="1">
      <alignment horizontal="left" vertical="center" wrapText="1" indent="1" readingOrder="1"/>
    </xf>
    <xf numFmtId="0" fontId="2" fillId="0" borderId="42" xfId="0" applyFont="1" applyBorder="1" applyAlignment="1">
      <alignment horizontal="left" vertical="center" wrapText="1" indent="1" readingOrder="1"/>
    </xf>
    <xf numFmtId="8" fontId="1" fillId="0" borderId="47" xfId="0" applyNumberFormat="1" applyFont="1" applyBorder="1" applyAlignment="1">
      <alignment horizontal="left" vertical="center" wrapText="1" indent="1" readingOrder="1"/>
    </xf>
    <xf numFmtId="10" fontId="1" fillId="0" borderId="48" xfId="0" applyNumberFormat="1" applyFont="1" applyBorder="1" applyAlignment="1">
      <alignment horizontal="left" vertical="center" wrapText="1" indent="1" readingOrder="1"/>
    </xf>
    <xf numFmtId="8" fontId="2" fillId="0" borderId="42" xfId="0" applyNumberFormat="1" applyFont="1" applyBorder="1" applyAlignment="1">
      <alignment horizontal="left" vertical="center" wrapText="1" indent="1" readingOrder="1"/>
    </xf>
    <xf numFmtId="10" fontId="2" fillId="0" borderId="43" xfId="0" applyNumberFormat="1" applyFont="1" applyBorder="1" applyAlignment="1">
      <alignment horizontal="left" vertical="center" wrapText="1" indent="1" readingOrder="1"/>
    </xf>
    <xf numFmtId="0" fontId="1" fillId="0" borderId="46" xfId="0" applyFont="1" applyBorder="1" applyAlignment="1">
      <alignment horizontal="left" vertical="center" wrapText="1" indent="1" readingOrder="1"/>
    </xf>
    <xf numFmtId="0" fontId="2" fillId="2" borderId="44" xfId="0" applyFont="1" applyFill="1" applyBorder="1" applyAlignment="1">
      <alignment horizontal="left" vertical="center" wrapText="1" indent="1" readingOrder="1"/>
    </xf>
    <xf numFmtId="0" fontId="2" fillId="2" borderId="38" xfId="0" applyFont="1" applyFill="1" applyBorder="1" applyAlignment="1">
      <alignment horizontal="left" vertical="center" wrapText="1" indent="1" readingOrder="1"/>
    </xf>
    <xf numFmtId="0" fontId="2" fillId="0" borderId="50" xfId="0" applyFont="1" applyBorder="1" applyAlignment="1">
      <alignment horizontal="left" vertical="center" wrapText="1" indent="1" readingOrder="1"/>
    </xf>
    <xf numFmtId="0" fontId="2" fillId="2" borderId="51" xfId="0" applyFont="1" applyFill="1" applyBorder="1" applyAlignment="1">
      <alignment horizontal="left" vertical="center" wrapText="1" indent="1" readingOrder="1"/>
    </xf>
    <xf numFmtId="0" fontId="1" fillId="0" borderId="50" xfId="0" applyFont="1" applyBorder="1" applyAlignment="1">
      <alignment horizontal="left" vertical="center" wrapText="1" indent="1" readingOrder="1"/>
    </xf>
    <xf numFmtId="0" fontId="1" fillId="3" borderId="52" xfId="0" applyFont="1" applyFill="1" applyBorder="1" applyAlignment="1">
      <alignment horizontal="left" vertical="center" wrapText="1" indent="1" readingOrder="1"/>
    </xf>
    <xf numFmtId="0" fontId="2" fillId="3" borderId="53" xfId="0" applyFont="1" applyFill="1" applyBorder="1" applyAlignment="1">
      <alignment horizontal="left" vertical="center" wrapText="1" indent="1" readingOrder="1"/>
    </xf>
    <xf numFmtId="0" fontId="1" fillId="3" borderId="54" xfId="0" applyFont="1" applyFill="1" applyBorder="1" applyAlignment="1">
      <alignment horizontal="left" vertical="center" wrapText="1" indent="1" readingOrder="1"/>
    </xf>
    <xf numFmtId="0" fontId="1" fillId="3" borderId="55" xfId="0" applyFont="1" applyFill="1" applyBorder="1" applyAlignment="1">
      <alignment horizontal="left" vertical="center" wrapText="1" indent="1" readingOrder="1"/>
    </xf>
    <xf numFmtId="0" fontId="2" fillId="3" borderId="56" xfId="0" applyFont="1" applyFill="1" applyBorder="1" applyAlignment="1">
      <alignment horizontal="left" vertical="center" wrapText="1" indent="1" readingOrder="1"/>
    </xf>
    <xf numFmtId="0" fontId="1" fillId="3" borderId="57" xfId="0" applyFont="1" applyFill="1" applyBorder="1" applyAlignment="1">
      <alignment horizontal="left" vertical="center" wrapText="1" indent="1" readingOrder="1"/>
    </xf>
    <xf numFmtId="0" fontId="0" fillId="0" borderId="0" xfId="0" applyBorder="1"/>
    <xf numFmtId="0" fontId="2" fillId="3" borderId="58" xfId="0" applyFont="1" applyFill="1" applyBorder="1" applyAlignment="1">
      <alignment horizontal="left" vertical="center" wrapText="1" indent="1" readingOrder="1"/>
    </xf>
    <xf numFmtId="0" fontId="1" fillId="3" borderId="59" xfId="0" applyFont="1" applyFill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4" fillId="2" borderId="36" xfId="0" applyFont="1" applyFill="1" applyBorder="1" applyAlignment="1">
      <alignment horizontal="left" vertical="center" wrapText="1" indent="1" readingOrder="1"/>
    </xf>
    <xf numFmtId="0" fontId="4" fillId="2" borderId="34" xfId="0" applyFont="1" applyFill="1" applyBorder="1" applyAlignment="1">
      <alignment horizontal="left" vertical="center" wrapText="1" indent="1" readingOrder="1"/>
    </xf>
    <xf numFmtId="0" fontId="4" fillId="2" borderId="35" xfId="0" applyFont="1" applyFill="1" applyBorder="1" applyAlignment="1">
      <alignment horizontal="left" vertical="center" wrapText="1" indent="1" readingOrder="1"/>
    </xf>
    <xf numFmtId="0" fontId="4" fillId="3" borderId="5" xfId="0" applyFont="1" applyFill="1" applyBorder="1" applyAlignment="1">
      <alignment horizontal="left" vertical="center" wrapText="1" indent="1" readingOrder="1"/>
    </xf>
    <xf numFmtId="0" fontId="4" fillId="3" borderId="4" xfId="0" applyFont="1" applyFill="1" applyBorder="1" applyAlignment="1">
      <alignment horizontal="left" vertical="center" wrapText="1" indent="1" readingOrder="1"/>
    </xf>
    <xf numFmtId="0" fontId="4" fillId="3" borderId="14" xfId="0" applyFont="1" applyFill="1" applyBorder="1" applyAlignment="1">
      <alignment horizontal="left" vertical="center" wrapText="1" indent="1" readingOrder="1"/>
    </xf>
    <xf numFmtId="0" fontId="3" fillId="2" borderId="15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1" fillId="3" borderId="60" xfId="0" applyFont="1" applyFill="1" applyBorder="1" applyAlignment="1">
      <alignment horizontal="left" vertical="center" wrapText="1" indent="1" readingOrder="1"/>
    </xf>
    <xf numFmtId="0" fontId="1" fillId="3" borderId="65" xfId="0" applyFont="1" applyFill="1" applyBorder="1" applyAlignment="1">
      <alignment horizontal="left" vertical="center" wrapText="1" indent="1" readingOrder="1"/>
    </xf>
    <xf numFmtId="0" fontId="1" fillId="3" borderId="66" xfId="0" applyFont="1" applyFill="1" applyBorder="1" applyAlignment="1">
      <alignment horizontal="left" vertical="center" wrapText="1" indent="1" readingOrder="1"/>
    </xf>
    <xf numFmtId="0" fontId="1" fillId="3" borderId="67" xfId="0" applyFont="1" applyFill="1" applyBorder="1" applyAlignment="1">
      <alignment horizontal="left" vertical="center" wrapText="1" indent="1" readingOrder="1"/>
    </xf>
    <xf numFmtId="0" fontId="1" fillId="3" borderId="68" xfId="0" applyFont="1" applyFill="1" applyBorder="1" applyAlignment="1">
      <alignment horizontal="left" vertical="center" wrapText="1" indent="1" readingOrder="1"/>
    </xf>
    <xf numFmtId="0" fontId="2" fillId="3" borderId="64" xfId="0" applyFont="1" applyFill="1" applyBorder="1" applyAlignment="1">
      <alignment horizontal="left" vertical="center" wrapText="1" indent="1" readingOrder="1"/>
    </xf>
    <xf numFmtId="3" fontId="2" fillId="0" borderId="37" xfId="0" applyNumberFormat="1" applyFont="1" applyBorder="1" applyAlignment="1">
      <alignment horizontal="left" vertical="center" wrapText="1" indent="1" readingOrder="1"/>
    </xf>
    <xf numFmtId="0" fontId="1" fillId="0" borderId="49" xfId="0" applyFont="1" applyBorder="1" applyAlignment="1">
      <alignment horizontal="left" vertical="center" wrapText="1" indent="1" readingOrder="1"/>
    </xf>
    <xf numFmtId="10" fontId="1" fillId="0" borderId="45" xfId="0" applyNumberFormat="1" applyFont="1" applyBorder="1" applyAlignment="1">
      <alignment horizontal="left" vertical="center" wrapText="1" indent="1" readingOrder="1"/>
    </xf>
    <xf numFmtId="0" fontId="1" fillId="0" borderId="45" xfId="0" applyFont="1" applyBorder="1" applyAlignment="1">
      <alignment horizontal="left" vertical="center" wrapText="1" indent="1" readingOrder="1"/>
    </xf>
    <xf numFmtId="10" fontId="1" fillId="0" borderId="37" xfId="0" applyNumberFormat="1" applyFont="1" applyBorder="1" applyAlignment="1">
      <alignment horizontal="left" vertical="center" wrapText="1" indent="1" readingOrder="1"/>
    </xf>
    <xf numFmtId="0" fontId="1" fillId="0" borderId="37" xfId="0" applyFont="1" applyBorder="1" applyAlignment="1">
      <alignment horizontal="left" vertical="center" wrapText="1" indent="1" readingOrder="1"/>
    </xf>
    <xf numFmtId="0" fontId="1" fillId="0" borderId="61" xfId="0" applyFont="1" applyBorder="1" applyAlignment="1">
      <alignment horizontal="left" vertical="center" wrapText="1" indent="1" readingOrder="1"/>
    </xf>
    <xf numFmtId="0" fontId="1" fillId="0" borderId="62" xfId="0" applyFont="1" applyBorder="1" applyAlignment="1">
      <alignment horizontal="left" vertical="center" wrapText="1" indent="1" readingOrder="1"/>
    </xf>
    <xf numFmtId="0" fontId="1" fillId="0" borderId="63" xfId="0" applyFont="1" applyBorder="1" applyAlignment="1">
      <alignment horizontal="left" vertical="center" wrapText="1" indent="1" readingOrder="1"/>
    </xf>
    <xf numFmtId="0" fontId="1" fillId="0" borderId="69" xfId="0" applyFont="1" applyBorder="1" applyAlignment="1">
      <alignment horizontal="left" vertical="center" wrapText="1" indent="1" readingOrder="1"/>
    </xf>
    <xf numFmtId="0" fontId="1" fillId="0" borderId="70" xfId="0" applyFont="1" applyBorder="1" applyAlignment="1">
      <alignment horizontal="left" vertical="center" wrapText="1" indent="1" readingOrder="1"/>
    </xf>
    <xf numFmtId="0" fontId="2" fillId="0" borderId="71" xfId="0" applyFont="1" applyBorder="1" applyAlignment="1">
      <alignment horizontal="left" vertical="center" wrapText="1" indent="1" readingOrder="1"/>
    </xf>
    <xf numFmtId="0" fontId="1" fillId="0" borderId="71" xfId="0" applyFont="1" applyBorder="1" applyAlignment="1">
      <alignment horizontal="left" vertical="center" wrapText="1" indent="1" readingOrder="1"/>
    </xf>
    <xf numFmtId="0" fontId="2" fillId="0" borderId="72" xfId="0" applyFont="1" applyBorder="1" applyAlignment="1">
      <alignment horizontal="left" vertical="center" wrapText="1" indent="1" readingOrder="1"/>
    </xf>
    <xf numFmtId="0" fontId="2" fillId="0" borderId="73" xfId="0" applyFont="1" applyBorder="1" applyAlignment="1">
      <alignment horizontal="left" vertical="center" wrapText="1" indent="1" readingOrder="1"/>
    </xf>
    <xf numFmtId="0" fontId="2" fillId="0" borderId="69" xfId="0" applyFont="1" applyBorder="1" applyAlignment="1">
      <alignment horizontal="left" vertical="center" wrapText="1" indent="1" readingOrder="1"/>
    </xf>
    <xf numFmtId="0" fontId="2" fillId="0" borderId="70" xfId="0" applyFont="1" applyBorder="1" applyAlignment="1">
      <alignment horizontal="left" vertical="center" wrapText="1" indent="1" readingOrder="1"/>
    </xf>
    <xf numFmtId="0" fontId="1" fillId="0" borderId="74" xfId="0" applyFont="1" applyBorder="1" applyAlignment="1">
      <alignment horizontal="left" vertical="center" wrapText="1" indent="1" readingOrder="1"/>
    </xf>
    <xf numFmtId="0" fontId="1" fillId="0" borderId="72" xfId="0" applyFont="1" applyBorder="1" applyAlignment="1">
      <alignment horizontal="left" vertical="center" wrapText="1" indent="1" readingOrder="1"/>
    </xf>
    <xf numFmtId="0" fontId="1" fillId="0" borderId="73" xfId="0" applyFont="1" applyBorder="1" applyAlignment="1">
      <alignment horizontal="left" vertical="center" wrapText="1" indent="1" readingOrder="1"/>
    </xf>
    <xf numFmtId="164" fontId="2" fillId="0" borderId="72" xfId="0" applyNumberFormat="1" applyFont="1" applyBorder="1" applyAlignment="1">
      <alignment horizontal="left" vertical="center" wrapText="1" indent="1" readingOrder="1"/>
    </xf>
    <xf numFmtId="164" fontId="2" fillId="0" borderId="73" xfId="0" applyNumberFormat="1" applyFont="1" applyBorder="1" applyAlignment="1">
      <alignment horizontal="left" vertical="center" wrapText="1" indent="1" readingOrder="1"/>
    </xf>
    <xf numFmtId="164" fontId="1" fillId="0" borderId="69" xfId="0" applyNumberFormat="1" applyFont="1" applyBorder="1" applyAlignment="1">
      <alignment horizontal="left" vertical="center" wrapText="1" indent="1" readingOrder="1"/>
    </xf>
    <xf numFmtId="164" fontId="2" fillId="0" borderId="39" xfId="0" applyNumberFormat="1" applyFont="1" applyBorder="1" applyAlignment="1">
      <alignment horizontal="left" vertical="center" wrapText="1" indent="1" readingOrder="1"/>
    </xf>
    <xf numFmtId="164" fontId="6" fillId="0" borderId="39" xfId="0" applyNumberFormat="1" applyFont="1" applyBorder="1" applyAlignment="1">
      <alignment horizontal="left" vertical="center" wrapText="1" indent="1" readingOrder="1"/>
    </xf>
    <xf numFmtId="10" fontId="1" fillId="0" borderId="39" xfId="0" applyNumberFormat="1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8" fontId="1" fillId="0" borderId="2" xfId="0" applyNumberFormat="1" applyFont="1" applyBorder="1" applyAlignment="1">
      <alignment horizontal="left" vertical="center" wrapText="1" indent="1" readingOrder="1"/>
    </xf>
    <xf numFmtId="10" fontId="1" fillId="0" borderId="2" xfId="0" applyNumberFormat="1" applyFont="1" applyBorder="1" applyAlignment="1">
      <alignment horizontal="left" vertical="center" wrapText="1" indent="1" readingOrder="1"/>
    </xf>
    <xf numFmtId="8" fontId="1" fillId="0" borderId="12" xfId="0" applyNumberFormat="1" applyFont="1" applyBorder="1" applyAlignment="1">
      <alignment horizontal="left" vertical="center" wrapText="1" indent="1" readingOrder="1"/>
    </xf>
    <xf numFmtId="8" fontId="1" fillId="0" borderId="28" xfId="0" applyNumberFormat="1" applyFont="1" applyBorder="1" applyAlignment="1">
      <alignment horizontal="left" vertical="center" wrapText="1" indent="1" readingOrder="1"/>
    </xf>
    <xf numFmtId="8" fontId="1" fillId="0" borderId="29" xfId="0" applyNumberFormat="1" applyFont="1" applyBorder="1" applyAlignment="1">
      <alignment horizontal="left" vertical="center" wrapText="1" indent="1" readingOrder="1"/>
    </xf>
    <xf numFmtId="10" fontId="1" fillId="0" borderId="29" xfId="0" applyNumberFormat="1" applyFont="1" applyBorder="1" applyAlignment="1">
      <alignment horizontal="left" vertical="center" wrapText="1" indent="1" readingOrder="1"/>
    </xf>
    <xf numFmtId="0" fontId="1" fillId="0" borderId="30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10" fontId="1" fillId="0" borderId="13" xfId="0" applyNumberFormat="1" applyFont="1" applyBorder="1" applyAlignment="1">
      <alignment horizontal="left" vertical="center" wrapText="1" indent="1" readingOrder="1"/>
    </xf>
    <xf numFmtId="10" fontId="1" fillId="0" borderId="9" xfId="0" applyNumberFormat="1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1" fillId="0" borderId="10" xfId="0" applyFont="1" applyBorder="1" applyAlignment="1">
      <alignment horizontal="left" vertical="center" wrapText="1" indent="1" readingOrder="1"/>
    </xf>
    <xf numFmtId="9" fontId="1" fillId="0" borderId="30" xfId="0" applyNumberFormat="1" applyFont="1" applyBorder="1" applyAlignment="1">
      <alignment horizontal="left" vertical="center" wrapText="1" indent="1" readingOrder="1"/>
    </xf>
    <xf numFmtId="164" fontId="1" fillId="0" borderId="8" xfId="0" applyNumberFormat="1" applyFont="1" applyBorder="1" applyAlignment="1">
      <alignment horizontal="left" vertical="center" wrapText="1" indent="1" readingOrder="1"/>
    </xf>
    <xf numFmtId="8" fontId="1" fillId="0" borderId="10" xfId="0" applyNumberFormat="1" applyFont="1" applyBorder="1" applyAlignment="1">
      <alignment horizontal="left" vertical="center" wrapText="1" indent="1" readingOrder="1"/>
    </xf>
    <xf numFmtId="3" fontId="1" fillId="0" borderId="2" xfId="0" applyNumberFormat="1" applyFont="1" applyBorder="1" applyAlignment="1">
      <alignment horizontal="left" vertical="center" wrapText="1" indent="1" readingOrder="1"/>
    </xf>
    <xf numFmtId="3" fontId="1" fillId="0" borderId="12" xfId="0" applyNumberFormat="1" applyFont="1" applyBorder="1" applyAlignment="1">
      <alignment horizontal="left" vertical="center" wrapText="1" indent="1" readingOrder="1"/>
    </xf>
    <xf numFmtId="0" fontId="1" fillId="0" borderId="13" xfId="0" applyFont="1" applyBorder="1" applyAlignment="1">
      <alignment horizontal="left" vertical="center" wrapText="1" indent="1" readingOrder="1"/>
    </xf>
    <xf numFmtId="10" fontId="1" fillId="0" borderId="11" xfId="0" applyNumberFormat="1" applyFont="1" applyBorder="1" applyAlignment="1">
      <alignment horizontal="left" vertical="center" wrapText="1" indent="1" readingOrder="1"/>
    </xf>
    <xf numFmtId="10" fontId="1" fillId="0" borderId="7" xfId="0" applyNumberFormat="1" applyFont="1" applyBorder="1" applyAlignment="1">
      <alignment horizontal="left" vertical="center" wrapText="1" indent="1" readingOrder="1"/>
    </xf>
    <xf numFmtId="8" fontId="1" fillId="0" borderId="8" xfId="0" applyNumberFormat="1" applyFont="1" applyBorder="1" applyAlignment="1">
      <alignment horizontal="left" vertical="center" wrapText="1" indent="1" readingOrder="1"/>
    </xf>
    <xf numFmtId="3" fontId="1" fillId="0" borderId="13" xfId="0" applyNumberFormat="1" applyFont="1" applyBorder="1" applyAlignment="1">
      <alignment horizontal="left" vertical="center" wrapText="1" indent="1" readingOrder="1"/>
    </xf>
    <xf numFmtId="3" fontId="1" fillId="0" borderId="10" xfId="0" applyNumberFormat="1" applyFont="1" applyBorder="1" applyAlignment="1">
      <alignment horizontal="left" vertical="center" wrapText="1" indent="1" readingOrder="1"/>
    </xf>
    <xf numFmtId="0" fontId="2" fillId="3" borderId="78" xfId="0" applyFont="1" applyFill="1" applyBorder="1" applyAlignment="1">
      <alignment horizontal="left" vertical="center" wrapText="1" indent="1" readingOrder="1"/>
    </xf>
    <xf numFmtId="0" fontId="2" fillId="3" borderId="79" xfId="0" applyFont="1" applyFill="1" applyBorder="1" applyAlignment="1">
      <alignment horizontal="left" vertical="center" wrapText="1" indent="1" readingOrder="1"/>
    </xf>
    <xf numFmtId="0" fontId="2" fillId="3" borderId="80" xfId="0" applyFont="1" applyFill="1" applyBorder="1" applyAlignment="1">
      <alignment horizontal="left" vertical="center" wrapText="1" indent="1" readingOrder="1"/>
    </xf>
    <xf numFmtId="0" fontId="2" fillId="2" borderId="81" xfId="0" applyFont="1" applyFill="1" applyBorder="1" applyAlignment="1">
      <alignment horizontal="left" vertical="center" wrapText="1" indent="1" readingOrder="1"/>
    </xf>
    <xf numFmtId="0" fontId="2" fillId="2" borderId="82" xfId="0" applyFont="1" applyFill="1" applyBorder="1" applyAlignment="1">
      <alignment horizontal="left" vertical="center" wrapText="1" indent="1" readingOrder="1"/>
    </xf>
    <xf numFmtId="0" fontId="2" fillId="2" borderId="83" xfId="0" applyFont="1" applyFill="1" applyBorder="1" applyAlignment="1">
      <alignment horizontal="left" vertical="center" wrapText="1" indent="1" readingOrder="1"/>
    </xf>
    <xf numFmtId="0" fontId="2" fillId="3" borderId="75" xfId="0" applyFont="1" applyFill="1" applyBorder="1" applyAlignment="1">
      <alignment horizontal="left" vertical="center" wrapText="1" indent="1" readingOrder="1"/>
    </xf>
    <xf numFmtId="0" fontId="2" fillId="3" borderId="76" xfId="0" applyFont="1" applyFill="1" applyBorder="1" applyAlignment="1">
      <alignment horizontal="left" vertical="center" wrapText="1" indent="1" readingOrder="1"/>
    </xf>
    <xf numFmtId="0" fontId="2" fillId="3" borderId="77" xfId="0" applyFont="1" applyFill="1" applyBorder="1" applyAlignment="1">
      <alignment horizontal="left" vertical="center" wrapText="1" indent="1" readingOrder="1"/>
    </xf>
    <xf numFmtId="0" fontId="2" fillId="3" borderId="5" xfId="0" applyFont="1" applyFill="1" applyBorder="1" applyAlignment="1">
      <alignment horizontal="left" vertical="center" wrapText="1" indent="1" readingOrder="1"/>
    </xf>
    <xf numFmtId="0" fontId="2" fillId="3" borderId="4" xfId="0" applyFont="1" applyFill="1" applyBorder="1" applyAlignment="1">
      <alignment horizontal="left" vertical="center" wrapText="1" indent="1" readingOrder="1"/>
    </xf>
    <xf numFmtId="0" fontId="2" fillId="3" borderId="14" xfId="0" applyFont="1" applyFill="1" applyBorder="1" applyAlignment="1">
      <alignment horizontal="left" vertical="center" wrapText="1" indent="1" readingOrder="1"/>
    </xf>
    <xf numFmtId="0" fontId="2" fillId="2" borderId="84" xfId="0" applyFont="1" applyFill="1" applyBorder="1" applyAlignment="1">
      <alignment horizontal="left" vertical="center" wrapText="1" indent="1" readingOrder="1"/>
    </xf>
    <xf numFmtId="0" fontId="2" fillId="2" borderId="85" xfId="0" applyFont="1" applyFill="1" applyBorder="1" applyAlignment="1">
      <alignment horizontal="left" vertical="center" wrapText="1" indent="1" readingOrder="1"/>
    </xf>
    <xf numFmtId="0" fontId="2" fillId="2" borderId="86" xfId="0" applyFont="1" applyFill="1" applyBorder="1" applyAlignment="1">
      <alignment horizontal="left" vertical="center" wrapText="1" indent="1" readingOrder="1"/>
    </xf>
    <xf numFmtId="0" fontId="2" fillId="2" borderId="87" xfId="0" applyFont="1" applyFill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2" borderId="4" xfId="0" applyFont="1" applyFill="1" applyBorder="1" applyAlignment="1">
      <alignment horizontal="left" vertical="center" wrapText="1" indent="1" readingOrder="1"/>
    </xf>
    <xf numFmtId="0" fontId="2" fillId="2" borderId="14" xfId="0" applyFont="1" applyFill="1" applyBorder="1" applyAlignment="1">
      <alignment horizontal="left" vertical="center" wrapText="1" indent="1" readingOrder="1"/>
    </xf>
    <xf numFmtId="0" fontId="3" fillId="3" borderId="26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2" fillId="2" borderId="2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0" borderId="88" xfId="0" applyFont="1" applyBorder="1" applyAlignment="1">
      <alignment horizontal="left" vertical="center" wrapText="1" indent="1" readingOrder="1"/>
    </xf>
    <xf numFmtId="8" fontId="1" fillId="0" borderId="88" xfId="0" applyNumberFormat="1" applyFont="1" applyBorder="1" applyAlignment="1">
      <alignment horizontal="left" vertical="center" wrapText="1" indent="1" readingOrder="1"/>
    </xf>
    <xf numFmtId="10" fontId="1" fillId="0" borderId="88" xfId="0" applyNumberFormat="1" applyFont="1" applyBorder="1" applyAlignment="1">
      <alignment horizontal="left" vertical="center" wrapText="1" indent="1" readingOrder="1"/>
    </xf>
    <xf numFmtId="0" fontId="1" fillId="0" borderId="88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0" fillId="0" borderId="89" xfId="0" applyBorder="1" applyAlignment="1">
      <alignment horizontal="center"/>
    </xf>
    <xf numFmtId="1" fontId="1" fillId="0" borderId="88" xfId="0" applyNumberFormat="1" applyFont="1" applyBorder="1" applyAlignment="1">
      <alignment horizontal="left" vertical="center" wrapText="1" indent="1" readingOrder="1"/>
    </xf>
    <xf numFmtId="8" fontId="2" fillId="0" borderId="88" xfId="0" applyNumberFormat="1" applyFont="1" applyBorder="1" applyAlignment="1">
      <alignment horizontal="left" vertical="center" wrapText="1" indent="1" readingOrder="1"/>
    </xf>
    <xf numFmtId="10" fontId="2" fillId="0" borderId="88" xfId="0" applyNumberFormat="1" applyFont="1" applyBorder="1" applyAlignment="1">
      <alignment horizontal="left" vertical="center" wrapText="1" indent="1" readingOrder="1"/>
    </xf>
    <xf numFmtId="0" fontId="8" fillId="0" borderId="88" xfId="0" applyFont="1" applyBorder="1" applyAlignment="1">
      <alignment horizontal="left" vertical="center" wrapText="1" indent="1" readingOrder="1"/>
    </xf>
    <xf numFmtId="10" fontId="8" fillId="0" borderId="88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Desempenho Financeiro (R$)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Cenário Ruim (00013)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</c:spPr>
          <c:invertIfNegative val="0"/>
          <c:cat>
            <c:strRef>
              <c:f>Dashboard!$A$2:$A$4</c:f>
              <c:strCache>
                <c:ptCount val="3"/>
                <c:pt idx="0">
                  <c:v>Receita Líquida</c:v>
                </c:pt>
                <c:pt idx="1">
                  <c:v>Margem de Contribuição</c:v>
                </c:pt>
                <c:pt idx="2">
                  <c:v>EBITDA / Lucro Operacional</c:v>
                </c:pt>
              </c:strCache>
            </c:strRef>
          </c:cat>
          <c:val>
            <c:numRef>
              <c:f>Dashboard!$B$2:$B$4</c:f>
              <c:numCache>
                <c:formatCode>"R$"#,##0.00_);[Red]\("R$"#,##0.00\)</c:formatCode>
                <c:ptCount val="3"/>
                <c:pt idx="0">
                  <c:v>6097801177.0900002</c:v>
                </c:pt>
                <c:pt idx="1">
                  <c:v>4220898153.0100002</c:v>
                </c:pt>
                <c:pt idx="2">
                  <c:v>2374898323.3800001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4-48A1-8F82-33E535892E40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Cenário Bom (00065)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Dashboard!$A$2:$A$4</c:f>
              <c:strCache>
                <c:ptCount val="3"/>
                <c:pt idx="0">
                  <c:v>Receita Líquida</c:v>
                </c:pt>
                <c:pt idx="1">
                  <c:v>Margem de Contribuição</c:v>
                </c:pt>
                <c:pt idx="2">
                  <c:v>EBITDA / Lucro Operacional</c:v>
                </c:pt>
              </c:strCache>
            </c:strRef>
          </c:cat>
          <c:val>
            <c:numRef>
              <c:f>Dashboard!$C$2:$C$4</c:f>
              <c:numCache>
                <c:formatCode>"R$"#,##0.00_);[Red]\("R$"#,##0.00\)</c:formatCode>
                <c:ptCount val="3"/>
                <c:pt idx="0">
                  <c:v>6086036870.5799999</c:v>
                </c:pt>
                <c:pt idx="1">
                  <c:v>4293938471.9899998</c:v>
                </c:pt>
                <c:pt idx="2">
                  <c:v>3271937932.6100001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4-48A1-8F82-33E535892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451680"/>
        <c:axId val="2032458400"/>
      </c:barChart>
      <c:catAx>
        <c:axId val="20324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2458400"/>
        <c:crosses val="autoZero"/>
        <c:auto val="1"/>
        <c:lblAlgn val="ctr"/>
        <c:lblOffset val="100"/>
        <c:noMultiLvlLbl val="0"/>
      </c:catAx>
      <c:valAx>
        <c:axId val="20324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245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Margens e Retorno (%)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Dashboard!$A$5</c:f>
              <c:strCache>
                <c:ptCount val="1"/>
                <c:pt idx="0">
                  <c:v>Margem EBITDA (%)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(Dashboard!$B$1,Dashboard!$C$1)</c:f>
              <c:strCache>
                <c:ptCount val="2"/>
                <c:pt idx="0">
                  <c:v>Cenário Ruim (00013)</c:v>
                </c:pt>
                <c:pt idx="1">
                  <c:v>Cenário Bom (00065)</c:v>
                </c:pt>
              </c:strCache>
            </c:strRef>
          </c:cat>
          <c:val>
            <c:numRef>
              <c:f>(Dashboard!$B$5,Dashboard!$C$5)</c:f>
              <c:numCache>
                <c:formatCode>0.00%</c:formatCode>
                <c:ptCount val="2"/>
                <c:pt idx="0">
                  <c:v>0.38950000000000001</c:v>
                </c:pt>
                <c:pt idx="1">
                  <c:v>0.53759999999999997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6-4471-A262-AD7CE833B4B2}"/>
            </c:ext>
          </c:extLst>
        </c:ser>
        <c:ser>
          <c:idx val="1"/>
          <c:order val="1"/>
          <c:tx>
            <c:strRef>
              <c:f>Dashboard!$A$20</c:f>
              <c:strCache>
                <c:ptCount val="1"/>
                <c:pt idx="0">
                  <c:v>ROIC (%) (Retorno sobre Capital Investido)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(Dashboard!$B$1,Dashboard!$C$1)</c:f>
              <c:strCache>
                <c:ptCount val="2"/>
                <c:pt idx="0">
                  <c:v>Cenário Ruim (00013)</c:v>
                </c:pt>
                <c:pt idx="1">
                  <c:v>Cenário Bom (00065)</c:v>
                </c:pt>
              </c:strCache>
            </c:strRef>
          </c:cat>
          <c:val>
            <c:numRef>
              <c:f>(Dashboard!$B$20,Dashboard!$C$20)</c:f>
              <c:numCache>
                <c:formatCode>0.00%</c:formatCode>
                <c:ptCount val="2"/>
                <c:pt idx="0">
                  <c:v>0.3579</c:v>
                </c:pt>
                <c:pt idx="1">
                  <c:v>0.3967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6-4471-A262-AD7CE833B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813488"/>
        <c:axId val="333816848"/>
      </c:barChart>
      <c:catAx>
        <c:axId val="33381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816848"/>
        <c:crosses val="autoZero"/>
        <c:auto val="1"/>
        <c:lblAlgn val="ctr"/>
        <c:lblOffset val="100"/>
        <c:noMultiLvlLbl val="0"/>
      </c:catAx>
      <c:valAx>
        <c:axId val="33381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81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10175</xdr:rowOff>
    </xdr:from>
    <xdr:to>
      <xdr:col>5</xdr:col>
      <xdr:colOff>9525</xdr:colOff>
      <xdr:row>85</xdr:row>
      <xdr:rowOff>9524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DA4DE8E-69D2-1A5E-ADDD-EC6F778CE37A}"/>
            </a:ext>
          </a:extLst>
        </xdr:cNvPr>
        <xdr:cNvSpPr txBox="1"/>
      </xdr:nvSpPr>
      <xdr:spPr>
        <a:xfrm>
          <a:off x="0" y="44758625"/>
          <a:ext cx="9610725" cy="220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Análise de Sensibilidade &amp; Impactos:</a:t>
          </a:r>
        </a:p>
        <a:p>
          <a:endParaRPr lang="pt-BR" sz="1100"/>
        </a:p>
        <a:p>
          <a:r>
            <a:rPr lang="pt-BR" sz="1100" b="1"/>
            <a:t>Impacto do Desconto/Cupom (5%): </a:t>
          </a:r>
          <a:r>
            <a:rPr lang="pt-BR" sz="1100"/>
            <a:t>A concessão do desconto ajusta a Receita Líquida para R$ 5,79 B e a Margem de Contribuição Ajustada para R$ 3,92 B, mantendo a operação altamente rentável e acima do Ponto de Equilíbrio.</a:t>
          </a:r>
        </a:p>
        <a:p>
          <a:r>
            <a:rPr lang="pt-BR" sz="1100"/>
            <a:t>  </a:t>
          </a:r>
        </a:p>
        <a:p>
          <a:r>
            <a:rPr lang="pt-BR" sz="1100" b="1"/>
            <a:t>Comportamento nos Cenários (Ruim vs. Bom):  </a:t>
          </a:r>
          <a:r>
            <a:rPr lang="pt-BR" sz="1100"/>
            <a:t>No Cenário Bom, o aumento no Ticket Médio (R$ 2.000,00) e na aquisição de clientes (500 mil) eleva o ROIC para 39,67% e reduz o Ponto de Equilíbrio para R$ 1,45 B, otimizando a estrutura de custos e a liquidez da empresa. 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6</xdr:col>
      <xdr:colOff>600074</xdr:colOff>
      <xdr:row>15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11281B-01F4-414D-A42D-E7429F9F7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200023</xdr:rowOff>
    </xdr:from>
    <xdr:to>
      <xdr:col>6</xdr:col>
      <xdr:colOff>600074</xdr:colOff>
      <xdr:row>32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A0BD3F-6298-4C0A-B281-F1BA9314A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600074</xdr:colOff>
      <xdr:row>41</xdr:row>
      <xdr:rowOff>190499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B9CB0D9-3FC3-FD8E-7465-6EF62B14AEB0}"/>
            </a:ext>
          </a:extLst>
        </xdr:cNvPr>
        <xdr:cNvSpPr txBox="1"/>
      </xdr:nvSpPr>
      <xdr:spPr>
        <a:xfrm>
          <a:off x="0" y="6515100"/>
          <a:ext cx="4257674" cy="152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Impacto do Desconto/Cupom (5%):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concessão do desconto ajusta a Receita Líquida para R$ 5,79 B e a Margem de Contribuição Ajustada para R$ 3,92 B, mantendo a operação altamente rentável e acima do Ponto de Equilíbrio. 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Comportamento nos Cenários (Ruim vs. Bom):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 Cenário Bom, o aumento no Ticket Médio (R$ 2.000,00) e na aquisição de clientes (500 mil) eleva o ROIC para 39,67% e reduz o Ponto de Equilíbrio para R$ 1,45 B, otimizando a estrutura de custos e a liquidez da empresa. </a:t>
          </a: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F3A0-2DB6-416F-A7DC-EF42C014B715}">
  <dimension ref="A1:J32"/>
  <sheetViews>
    <sheetView zoomScaleNormal="100" workbookViewId="0">
      <selection activeCell="D12" sqref="D12"/>
    </sheetView>
  </sheetViews>
  <sheetFormatPr defaultRowHeight="14.25"/>
  <cols>
    <col min="1" max="1" width="20.25" bestFit="1" customWidth="1"/>
    <col min="2" max="2" width="31.25" bestFit="1" customWidth="1"/>
    <col min="3" max="5" width="24.125" bestFit="1" customWidth="1"/>
    <col min="6" max="6" width="11.625" bestFit="1" customWidth="1"/>
    <col min="7" max="7" width="15.125" bestFit="1" customWidth="1"/>
  </cols>
  <sheetData>
    <row r="1" spans="1:10" ht="30.75" thickBot="1">
      <c r="A1" s="40" t="s">
        <v>176</v>
      </c>
      <c r="B1" s="37" t="s">
        <v>196</v>
      </c>
      <c r="C1" s="38" t="s">
        <v>177</v>
      </c>
      <c r="D1" s="38" t="s">
        <v>178</v>
      </c>
      <c r="E1" s="38" t="s">
        <v>191</v>
      </c>
      <c r="F1" s="38" t="s">
        <v>206</v>
      </c>
    </row>
    <row r="2" spans="1:10" ht="15">
      <c r="A2" s="49" t="s">
        <v>179</v>
      </c>
      <c r="B2" s="39" t="s">
        <v>187</v>
      </c>
      <c r="C2" s="32">
        <v>6719888242.1599998</v>
      </c>
      <c r="D2" s="32">
        <v>6708118182.7799997</v>
      </c>
      <c r="E2" s="32">
        <v>-11770059.380000001</v>
      </c>
      <c r="F2" s="33">
        <v>-1.8E-3</v>
      </c>
    </row>
    <row r="3" spans="1:10" ht="28.5">
      <c r="A3" s="44"/>
      <c r="B3" s="26" t="s">
        <v>188</v>
      </c>
      <c r="C3" s="22">
        <v>-622087065.07000005</v>
      </c>
      <c r="D3" s="22">
        <v>-622081312.20000005</v>
      </c>
      <c r="E3" s="22">
        <v>5752.87</v>
      </c>
      <c r="F3" s="27">
        <v>-1.0000000000000001E-5</v>
      </c>
    </row>
    <row r="4" spans="1:10" ht="15">
      <c r="A4" s="50"/>
      <c r="B4" s="25" t="s">
        <v>189</v>
      </c>
      <c r="C4" s="23">
        <v>6097801177.0900002</v>
      </c>
      <c r="D4" s="23">
        <v>6086036870.5799999</v>
      </c>
      <c r="E4" s="23">
        <v>-11764306.51</v>
      </c>
      <c r="F4" s="28">
        <v>-1.9E-3</v>
      </c>
    </row>
    <row r="5" spans="1:10" ht="28.5">
      <c r="A5" s="45"/>
      <c r="B5" s="26" t="s">
        <v>197</v>
      </c>
      <c r="C5" s="22">
        <v>-1361503024.0799999</v>
      </c>
      <c r="D5" s="22">
        <v>-1267098398.5899999</v>
      </c>
      <c r="E5" s="22">
        <v>94404625.489999995</v>
      </c>
      <c r="F5" s="27">
        <v>-6.93E-2</v>
      </c>
      <c r="J5" s="48"/>
    </row>
    <row r="6" spans="1:10" ht="30">
      <c r="A6" s="44"/>
      <c r="B6" s="25" t="s">
        <v>180</v>
      </c>
      <c r="C6" s="23">
        <v>4736298153.0100002</v>
      </c>
      <c r="D6" s="23">
        <v>4818938471.9899998</v>
      </c>
      <c r="E6" s="23">
        <v>82640318.980000004</v>
      </c>
      <c r="F6" s="28">
        <v>1.7399999999999999E-2</v>
      </c>
      <c r="J6" s="48"/>
    </row>
    <row r="7" spans="1:10" ht="28.5">
      <c r="A7" s="45"/>
      <c r="B7" s="26" t="s">
        <v>190</v>
      </c>
      <c r="C7" s="22">
        <v>-515400000</v>
      </c>
      <c r="D7" s="22">
        <v>-525000000</v>
      </c>
      <c r="E7" s="22">
        <v>-9600000</v>
      </c>
      <c r="F7" s="27">
        <v>1.8599999999999998E-2</v>
      </c>
    </row>
    <row r="8" spans="1:10" ht="30">
      <c r="A8" s="45"/>
      <c r="B8" s="25" t="s">
        <v>198</v>
      </c>
      <c r="C8" s="23">
        <v>4220898153.0100002</v>
      </c>
      <c r="D8" s="23">
        <v>4293938471.9899998</v>
      </c>
      <c r="E8" s="23">
        <v>73040318.980000004</v>
      </c>
      <c r="F8" s="28">
        <v>1.7299999999999999E-2</v>
      </c>
    </row>
    <row r="9" spans="1:10" ht="28.5">
      <c r="A9" s="44"/>
      <c r="B9" s="26" t="s">
        <v>192</v>
      </c>
      <c r="C9" s="22">
        <v>-1845999829.6300001</v>
      </c>
      <c r="D9" s="22">
        <v>-1022000539.38</v>
      </c>
      <c r="E9" s="22">
        <v>823999290.25</v>
      </c>
      <c r="F9" s="27">
        <v>-0.44640000000000002</v>
      </c>
    </row>
    <row r="10" spans="1:10" ht="15.75" thickBot="1">
      <c r="A10" s="42"/>
      <c r="B10" s="30" t="s">
        <v>193</v>
      </c>
      <c r="C10" s="34">
        <v>2374898323.3800001</v>
      </c>
      <c r="D10" s="34">
        <v>3271937932.6100001</v>
      </c>
      <c r="E10" s="34">
        <v>897039609.23000002</v>
      </c>
      <c r="F10" s="35">
        <v>0.37769999999999998</v>
      </c>
    </row>
    <row r="11" spans="1:10" ht="29.25" thickBot="1">
      <c r="A11" s="46" t="s">
        <v>199</v>
      </c>
      <c r="B11" s="41" t="s">
        <v>200</v>
      </c>
      <c r="C11" s="32">
        <v>30000000</v>
      </c>
      <c r="D11" s="32">
        <v>40000000</v>
      </c>
      <c r="E11" s="32">
        <v>10000000</v>
      </c>
      <c r="F11" s="33">
        <v>0.33329999999999999</v>
      </c>
    </row>
    <row r="12" spans="1:10" ht="15.75" thickBot="1">
      <c r="A12" s="47"/>
      <c r="B12" s="25" t="s">
        <v>201</v>
      </c>
      <c r="C12" s="72">
        <v>200000</v>
      </c>
      <c r="D12" s="72">
        <v>500000</v>
      </c>
      <c r="E12" s="72">
        <v>300000</v>
      </c>
      <c r="F12" s="28">
        <v>1.5</v>
      </c>
    </row>
    <row r="13" spans="1:10">
      <c r="A13" s="44"/>
      <c r="B13" s="26" t="s">
        <v>202</v>
      </c>
      <c r="C13" s="22">
        <v>1500</v>
      </c>
      <c r="D13" s="22">
        <v>2000</v>
      </c>
      <c r="E13" s="22">
        <v>500</v>
      </c>
      <c r="F13" s="27">
        <v>0.33329999999999999</v>
      </c>
    </row>
    <row r="14" spans="1:10" ht="30.75" thickBot="1">
      <c r="A14" s="42"/>
      <c r="B14" s="30" t="s">
        <v>203</v>
      </c>
      <c r="C14" s="31">
        <v>12</v>
      </c>
      <c r="D14" s="31">
        <v>18</v>
      </c>
      <c r="E14" s="31">
        <v>6</v>
      </c>
      <c r="F14" s="35">
        <v>0.5</v>
      </c>
    </row>
    <row r="15" spans="1:10" ht="28.5">
      <c r="A15" s="43" t="s">
        <v>204</v>
      </c>
      <c r="B15" s="73" t="s">
        <v>181</v>
      </c>
      <c r="C15" s="74">
        <v>0.77669999999999995</v>
      </c>
      <c r="D15" s="74">
        <v>0.79179999999999995</v>
      </c>
      <c r="E15" s="75" t="s">
        <v>207</v>
      </c>
      <c r="F15" s="36" t="s">
        <v>208</v>
      </c>
    </row>
    <row r="16" spans="1:10" ht="15">
      <c r="A16" s="44"/>
      <c r="B16" s="25" t="s">
        <v>182</v>
      </c>
      <c r="C16" s="24">
        <v>0.69220000000000004</v>
      </c>
      <c r="D16" s="24">
        <v>0.70550000000000002</v>
      </c>
      <c r="E16" s="21" t="s">
        <v>209</v>
      </c>
      <c r="F16" s="29" t="s">
        <v>208</v>
      </c>
    </row>
    <row r="17" spans="1:6" ht="24" customHeight="1">
      <c r="A17" s="44"/>
      <c r="B17" s="26" t="s">
        <v>0</v>
      </c>
      <c r="C17" s="76">
        <v>0.38950000000000001</v>
      </c>
      <c r="D17" s="76">
        <v>0.53759999999999997</v>
      </c>
      <c r="E17" s="77" t="s">
        <v>210</v>
      </c>
      <c r="F17" s="29" t="s">
        <v>208</v>
      </c>
    </row>
    <row r="18" spans="1:6" ht="15">
      <c r="A18" s="45"/>
      <c r="B18" s="25" t="s">
        <v>194</v>
      </c>
      <c r="C18" s="23">
        <v>2666858930.4899998</v>
      </c>
      <c r="D18" s="23">
        <v>1448537980.9200001</v>
      </c>
      <c r="E18" s="23">
        <v>-1218320949.5599999</v>
      </c>
      <c r="F18" s="28">
        <v>-0.45689999999999997</v>
      </c>
    </row>
    <row r="19" spans="1:6">
      <c r="A19" s="45"/>
      <c r="B19" s="26" t="s">
        <v>205</v>
      </c>
      <c r="C19" s="22">
        <v>150</v>
      </c>
      <c r="D19" s="22">
        <v>80</v>
      </c>
      <c r="E19" s="22">
        <v>-70</v>
      </c>
      <c r="F19" s="27">
        <v>-0.4667</v>
      </c>
    </row>
    <row r="20" spans="1:6" ht="29.25" customHeight="1">
      <c r="A20" s="44"/>
      <c r="B20" s="25" t="s">
        <v>195</v>
      </c>
      <c r="C20" s="23">
        <v>18000</v>
      </c>
      <c r="D20" s="23">
        <v>36000</v>
      </c>
      <c r="E20" s="23">
        <v>18000</v>
      </c>
      <c r="F20" s="28">
        <v>1</v>
      </c>
    </row>
    <row r="21" spans="1:6" ht="29.25" customHeight="1" thickBot="1">
      <c r="A21" s="66"/>
      <c r="B21" s="78" t="s">
        <v>183</v>
      </c>
      <c r="C21" s="79" t="s">
        <v>211</v>
      </c>
      <c r="D21" s="79" t="s">
        <v>212</v>
      </c>
      <c r="E21" s="79" t="s">
        <v>213</v>
      </c>
      <c r="F21" s="80" t="s">
        <v>208</v>
      </c>
    </row>
    <row r="22" spans="1:6" ht="29.25" customHeight="1">
      <c r="A22" s="71" t="s">
        <v>256</v>
      </c>
      <c r="B22" s="87" t="s">
        <v>233</v>
      </c>
      <c r="C22" s="87" t="s">
        <v>234</v>
      </c>
      <c r="D22" s="87" t="s">
        <v>234</v>
      </c>
      <c r="E22" s="87" t="s">
        <v>235</v>
      </c>
      <c r="F22" s="88">
        <v>0</v>
      </c>
    </row>
    <row r="23" spans="1:6" ht="23.25" customHeight="1">
      <c r="A23" s="67"/>
      <c r="B23" s="26" t="s">
        <v>236</v>
      </c>
      <c r="C23" s="26" t="s">
        <v>237</v>
      </c>
      <c r="D23" s="26" t="s">
        <v>234</v>
      </c>
      <c r="E23" s="26" t="s">
        <v>238</v>
      </c>
      <c r="F23" s="84">
        <v>0.01</v>
      </c>
    </row>
    <row r="24" spans="1:6" ht="26.25" customHeight="1">
      <c r="A24" s="67"/>
      <c r="B24" s="25" t="s">
        <v>239</v>
      </c>
      <c r="C24" s="25" t="s">
        <v>240</v>
      </c>
      <c r="D24" s="25" t="s">
        <v>241</v>
      </c>
      <c r="E24" s="25" t="s">
        <v>242</v>
      </c>
      <c r="F24" s="83">
        <v>-4.2299999999999997E-2</v>
      </c>
    </row>
    <row r="25" spans="1:6" ht="24.75" customHeight="1" thickBot="1">
      <c r="A25" s="70"/>
      <c r="B25" s="90" t="s">
        <v>243</v>
      </c>
      <c r="C25" s="90" t="s">
        <v>244</v>
      </c>
      <c r="D25" s="90" t="s">
        <v>244</v>
      </c>
      <c r="E25" s="90" t="s">
        <v>235</v>
      </c>
      <c r="F25" s="91">
        <v>0</v>
      </c>
    </row>
    <row r="26" spans="1:6" ht="30">
      <c r="A26" s="71" t="s">
        <v>257</v>
      </c>
      <c r="B26" s="87" t="s">
        <v>245</v>
      </c>
      <c r="C26" s="87" t="s">
        <v>246</v>
      </c>
      <c r="D26" s="87" t="s">
        <v>247</v>
      </c>
      <c r="E26" s="87" t="s">
        <v>248</v>
      </c>
      <c r="F26" s="88">
        <v>0.26640000000000003</v>
      </c>
    </row>
    <row r="27" spans="1:6" ht="36" customHeight="1">
      <c r="A27" s="67"/>
      <c r="B27" s="78" t="s">
        <v>249</v>
      </c>
      <c r="C27" s="78">
        <v>0.19289999999999999</v>
      </c>
      <c r="D27" s="78">
        <v>0.19289999999999999</v>
      </c>
      <c r="E27" s="78" t="s">
        <v>250</v>
      </c>
      <c r="F27" s="89" t="s">
        <v>208</v>
      </c>
    </row>
    <row r="28" spans="1:6" ht="27.75" customHeight="1" thickBot="1">
      <c r="A28" s="70"/>
      <c r="B28" s="92" t="s">
        <v>251</v>
      </c>
      <c r="C28" s="92">
        <v>9336902089.5900002</v>
      </c>
      <c r="D28" s="92">
        <v>9336902089.5900002</v>
      </c>
      <c r="E28" s="92">
        <v>0</v>
      </c>
      <c r="F28" s="93">
        <v>0</v>
      </c>
    </row>
    <row r="29" spans="1:6" ht="24.75" customHeight="1">
      <c r="A29" s="71" t="s">
        <v>258</v>
      </c>
      <c r="B29" s="81" t="s">
        <v>252</v>
      </c>
      <c r="C29" s="94">
        <v>2798304000</v>
      </c>
      <c r="D29" s="94">
        <v>2839198000</v>
      </c>
      <c r="E29" s="94">
        <v>40894000</v>
      </c>
      <c r="F29" s="82">
        <v>1.46E-2</v>
      </c>
    </row>
    <row r="30" spans="1:6" ht="27" customHeight="1">
      <c r="A30" s="67"/>
      <c r="B30" s="25" t="s">
        <v>253</v>
      </c>
      <c r="C30" s="95">
        <v>7818116000</v>
      </c>
      <c r="D30" s="95">
        <v>7157889000</v>
      </c>
      <c r="E30" s="96">
        <v>-660227000</v>
      </c>
      <c r="F30" s="83">
        <v>-8.4400000000000003E-2</v>
      </c>
    </row>
    <row r="31" spans="1:6" ht="22.5" customHeight="1">
      <c r="A31" s="68"/>
      <c r="B31" s="26" t="s">
        <v>254</v>
      </c>
      <c r="C31" s="97">
        <v>0.3579</v>
      </c>
      <c r="D31" s="97">
        <v>0.3967</v>
      </c>
      <c r="E31" s="26" t="s">
        <v>255</v>
      </c>
      <c r="F31" s="84" t="s">
        <v>208</v>
      </c>
    </row>
    <row r="32" spans="1:6" ht="23.25" customHeight="1" thickBot="1">
      <c r="A32" s="69"/>
      <c r="B32" s="85" t="s">
        <v>98</v>
      </c>
      <c r="C32" s="92">
        <v>1861380000</v>
      </c>
      <c r="D32" s="92">
        <v>1981400000</v>
      </c>
      <c r="E32" s="92">
        <v>120020000</v>
      </c>
      <c r="F32" s="86">
        <v>6.4500000000000002E-2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86F9-54D6-4DAC-A9BA-92D991C1E00F}">
  <dimension ref="A1:F26"/>
  <sheetViews>
    <sheetView topLeftCell="A16" zoomScale="78" zoomScaleNormal="78" workbookViewId="0">
      <selection activeCell="D29" sqref="D29"/>
    </sheetView>
  </sheetViews>
  <sheetFormatPr defaultRowHeight="14.25"/>
  <cols>
    <col min="1" max="1" width="27.375" bestFit="1" customWidth="1"/>
    <col min="2" max="2" width="16.125" customWidth="1"/>
    <col min="3" max="3" width="63.75" bestFit="1" customWidth="1"/>
    <col min="4" max="4" width="38.875" customWidth="1"/>
    <col min="5" max="5" width="13" bestFit="1" customWidth="1"/>
    <col min="6" max="6" width="39" customWidth="1"/>
  </cols>
  <sheetData>
    <row r="1" spans="1:6" ht="18.75" thickBot="1">
      <c r="A1" s="51" t="s">
        <v>7</v>
      </c>
      <c r="B1" s="52" t="s">
        <v>8</v>
      </c>
      <c r="C1" s="53" t="s">
        <v>9</v>
      </c>
      <c r="D1" s="53" t="s">
        <v>10</v>
      </c>
      <c r="E1" s="53" t="s">
        <v>11</v>
      </c>
      <c r="F1" s="54" t="s">
        <v>12</v>
      </c>
    </row>
    <row r="2" spans="1:6" ht="36">
      <c r="A2" s="55" t="s">
        <v>13</v>
      </c>
      <c r="B2" s="18" t="s">
        <v>14</v>
      </c>
      <c r="C2" s="16" t="s">
        <v>15</v>
      </c>
      <c r="D2" s="16" t="s">
        <v>16</v>
      </c>
      <c r="E2" s="16" t="s">
        <v>17</v>
      </c>
      <c r="F2" s="17" t="s">
        <v>18</v>
      </c>
    </row>
    <row r="3" spans="1:6" ht="36">
      <c r="A3" s="56" t="s">
        <v>19</v>
      </c>
      <c r="B3" s="19" t="s">
        <v>20</v>
      </c>
      <c r="C3" s="12" t="s">
        <v>21</v>
      </c>
      <c r="D3" s="12" t="s">
        <v>22</v>
      </c>
      <c r="E3" s="12" t="s">
        <v>17</v>
      </c>
      <c r="F3" s="13" t="s">
        <v>23</v>
      </c>
    </row>
    <row r="4" spans="1:6" ht="54">
      <c r="A4" s="56" t="s">
        <v>24</v>
      </c>
      <c r="B4" s="19" t="s">
        <v>25</v>
      </c>
      <c r="C4" s="12" t="s">
        <v>26</v>
      </c>
      <c r="D4" s="12" t="s">
        <v>27</v>
      </c>
      <c r="E4" s="12" t="s">
        <v>17</v>
      </c>
      <c r="F4" s="13" t="s">
        <v>28</v>
      </c>
    </row>
    <row r="5" spans="1:6" ht="54">
      <c r="A5" s="56" t="s">
        <v>0</v>
      </c>
      <c r="B5" s="19" t="s">
        <v>29</v>
      </c>
      <c r="C5" s="12" t="s">
        <v>30</v>
      </c>
      <c r="D5" s="12" t="s">
        <v>31</v>
      </c>
      <c r="E5" s="12" t="s">
        <v>32</v>
      </c>
      <c r="F5" s="13" t="s">
        <v>33</v>
      </c>
    </row>
    <row r="6" spans="1:6" ht="54">
      <c r="A6" s="56" t="s">
        <v>34</v>
      </c>
      <c r="B6" s="19" t="s">
        <v>35</v>
      </c>
      <c r="C6" s="12" t="s">
        <v>36</v>
      </c>
      <c r="D6" s="12" t="s">
        <v>37</v>
      </c>
      <c r="E6" s="12" t="s">
        <v>17</v>
      </c>
      <c r="F6" s="13" t="s">
        <v>38</v>
      </c>
    </row>
    <row r="7" spans="1:6" ht="54">
      <c r="A7" s="56" t="s">
        <v>1</v>
      </c>
      <c r="B7" s="19" t="s">
        <v>29</v>
      </c>
      <c r="C7" s="12" t="s">
        <v>39</v>
      </c>
      <c r="D7" s="12" t="s">
        <v>40</v>
      </c>
      <c r="E7" s="12" t="s">
        <v>32</v>
      </c>
      <c r="F7" s="13" t="s">
        <v>41</v>
      </c>
    </row>
    <row r="8" spans="1:6" ht="36">
      <c r="A8" s="56" t="s">
        <v>42</v>
      </c>
      <c r="B8" s="19" t="s">
        <v>43</v>
      </c>
      <c r="C8" s="12" t="s">
        <v>44</v>
      </c>
      <c r="D8" s="12" t="s">
        <v>45</v>
      </c>
      <c r="E8" s="12" t="s">
        <v>17</v>
      </c>
      <c r="F8" s="13" t="s">
        <v>46</v>
      </c>
    </row>
    <row r="9" spans="1:6" ht="54">
      <c r="A9" s="56" t="s">
        <v>47</v>
      </c>
      <c r="B9" s="19" t="s">
        <v>48</v>
      </c>
      <c r="C9" s="12" t="s">
        <v>49</v>
      </c>
      <c r="D9" s="12" t="s">
        <v>50</v>
      </c>
      <c r="E9" s="12" t="s">
        <v>17</v>
      </c>
      <c r="F9" s="13" t="s">
        <v>51</v>
      </c>
    </row>
    <row r="10" spans="1:6" ht="72">
      <c r="A10" s="56" t="s">
        <v>184</v>
      </c>
      <c r="B10" s="19" t="s">
        <v>52</v>
      </c>
      <c r="C10" s="11" t="s">
        <v>185</v>
      </c>
      <c r="D10" s="12" t="s">
        <v>214</v>
      </c>
      <c r="E10" s="12" t="s">
        <v>17</v>
      </c>
      <c r="F10" s="13" t="s">
        <v>186</v>
      </c>
    </row>
    <row r="11" spans="1:6" ht="72">
      <c r="A11" s="56" t="s">
        <v>2</v>
      </c>
      <c r="B11" s="19" t="s">
        <v>53</v>
      </c>
      <c r="C11" s="11" t="s">
        <v>215</v>
      </c>
      <c r="D11" s="12" t="s">
        <v>216</v>
      </c>
      <c r="E11" s="12" t="s">
        <v>32</v>
      </c>
      <c r="F11" s="13" t="s">
        <v>217</v>
      </c>
    </row>
    <row r="12" spans="1:6" ht="36">
      <c r="A12" s="56" t="s">
        <v>54</v>
      </c>
      <c r="B12" s="19" t="s">
        <v>55</v>
      </c>
      <c r="C12" s="12" t="s">
        <v>56</v>
      </c>
      <c r="D12" s="12" t="s">
        <v>57</v>
      </c>
      <c r="E12" s="12" t="s">
        <v>17</v>
      </c>
      <c r="F12" s="13" t="s">
        <v>58</v>
      </c>
    </row>
    <row r="13" spans="1:6" ht="36">
      <c r="A13" s="56" t="s">
        <v>59</v>
      </c>
      <c r="B13" s="19" t="s">
        <v>55</v>
      </c>
      <c r="C13" s="12" t="s">
        <v>60</v>
      </c>
      <c r="D13" s="12" t="s">
        <v>218</v>
      </c>
      <c r="E13" s="12" t="s">
        <v>17</v>
      </c>
      <c r="F13" s="13" t="s">
        <v>61</v>
      </c>
    </row>
    <row r="14" spans="1:6" ht="54">
      <c r="A14" s="56" t="s">
        <v>62</v>
      </c>
      <c r="B14" s="19" t="s">
        <v>35</v>
      </c>
      <c r="C14" s="12" t="s">
        <v>63</v>
      </c>
      <c r="D14" s="12" t="s">
        <v>64</v>
      </c>
      <c r="E14" s="12" t="s">
        <v>32</v>
      </c>
      <c r="F14" s="13" t="s">
        <v>65</v>
      </c>
    </row>
    <row r="15" spans="1:6" ht="36">
      <c r="A15" s="56" t="s">
        <v>66</v>
      </c>
      <c r="B15" s="19" t="s">
        <v>67</v>
      </c>
      <c r="C15" s="12" t="s">
        <v>219</v>
      </c>
      <c r="D15" s="12" t="s">
        <v>68</v>
      </c>
      <c r="E15" s="12" t="s">
        <v>17</v>
      </c>
      <c r="F15" s="13" t="s">
        <v>69</v>
      </c>
    </row>
    <row r="16" spans="1:6" ht="54">
      <c r="A16" s="56" t="s">
        <v>70</v>
      </c>
      <c r="B16" s="19" t="s">
        <v>25</v>
      </c>
      <c r="C16" s="12" t="s">
        <v>71</v>
      </c>
      <c r="D16" s="12" t="s">
        <v>72</v>
      </c>
      <c r="E16" s="12" t="s">
        <v>220</v>
      </c>
      <c r="F16" s="13" t="s">
        <v>73</v>
      </c>
    </row>
    <row r="17" spans="1:6" ht="54">
      <c r="A17" s="56" t="s">
        <v>74</v>
      </c>
      <c r="B17" s="19" t="s">
        <v>75</v>
      </c>
      <c r="C17" s="12" t="s">
        <v>76</v>
      </c>
      <c r="D17" s="12" t="s">
        <v>77</v>
      </c>
      <c r="E17" s="12" t="s">
        <v>17</v>
      </c>
      <c r="F17" s="13" t="s">
        <v>78</v>
      </c>
    </row>
    <row r="18" spans="1:6" ht="36">
      <c r="A18" s="56" t="s">
        <v>79</v>
      </c>
      <c r="B18" s="19" t="s">
        <v>80</v>
      </c>
      <c r="C18" s="12" t="s">
        <v>81</v>
      </c>
      <c r="D18" s="12" t="s">
        <v>82</v>
      </c>
      <c r="E18" s="12" t="s">
        <v>17</v>
      </c>
      <c r="F18" s="13" t="s">
        <v>221</v>
      </c>
    </row>
    <row r="19" spans="1:6" ht="54">
      <c r="A19" s="56" t="s">
        <v>83</v>
      </c>
      <c r="B19" s="19" t="s">
        <v>84</v>
      </c>
      <c r="C19" s="11" t="s">
        <v>222</v>
      </c>
      <c r="D19" s="12" t="s">
        <v>223</v>
      </c>
      <c r="E19" s="12" t="s">
        <v>17</v>
      </c>
      <c r="F19" s="13" t="s">
        <v>224</v>
      </c>
    </row>
    <row r="20" spans="1:6" ht="72">
      <c r="A20" s="56" t="s">
        <v>85</v>
      </c>
      <c r="B20" s="19" t="s">
        <v>20</v>
      </c>
      <c r="C20" s="12" t="s">
        <v>86</v>
      </c>
      <c r="D20" s="12" t="s">
        <v>87</v>
      </c>
      <c r="E20" s="12" t="s">
        <v>88</v>
      </c>
      <c r="F20" s="13" t="s">
        <v>225</v>
      </c>
    </row>
    <row r="21" spans="1:6" ht="36">
      <c r="A21" s="56" t="s">
        <v>3</v>
      </c>
      <c r="B21" s="19" t="s">
        <v>67</v>
      </c>
      <c r="C21" s="12" t="s">
        <v>89</v>
      </c>
      <c r="D21" s="12" t="s">
        <v>90</v>
      </c>
      <c r="E21" s="12" t="s">
        <v>88</v>
      </c>
      <c r="F21" s="13" t="s">
        <v>91</v>
      </c>
    </row>
    <row r="22" spans="1:6" ht="54">
      <c r="A22" s="56" t="s">
        <v>4</v>
      </c>
      <c r="B22" s="19" t="s">
        <v>67</v>
      </c>
      <c r="C22" s="12" t="s">
        <v>92</v>
      </c>
      <c r="D22" s="12" t="s">
        <v>90</v>
      </c>
      <c r="E22" s="12" t="s">
        <v>88</v>
      </c>
      <c r="F22" s="13" t="s">
        <v>226</v>
      </c>
    </row>
    <row r="23" spans="1:6" ht="72">
      <c r="A23" s="56" t="s">
        <v>5</v>
      </c>
      <c r="B23" s="19" t="s">
        <v>67</v>
      </c>
      <c r="C23" s="12" t="s">
        <v>93</v>
      </c>
      <c r="D23" s="12" t="s">
        <v>90</v>
      </c>
      <c r="E23" s="12" t="s">
        <v>88</v>
      </c>
      <c r="F23" s="13" t="s">
        <v>227</v>
      </c>
    </row>
    <row r="24" spans="1:6" ht="54">
      <c r="A24" s="56" t="s">
        <v>6</v>
      </c>
      <c r="B24" s="19" t="s">
        <v>94</v>
      </c>
      <c r="C24" s="12" t="s">
        <v>95</v>
      </c>
      <c r="D24" s="12" t="s">
        <v>90</v>
      </c>
      <c r="E24" s="12" t="s">
        <v>32</v>
      </c>
      <c r="F24" s="13" t="s">
        <v>228</v>
      </c>
    </row>
    <row r="25" spans="1:6" ht="54">
      <c r="A25" s="56" t="s">
        <v>96</v>
      </c>
      <c r="B25" s="19" t="s">
        <v>94</v>
      </c>
      <c r="C25" s="12" t="s">
        <v>97</v>
      </c>
      <c r="D25" s="12" t="s">
        <v>90</v>
      </c>
      <c r="E25" s="12" t="s">
        <v>32</v>
      </c>
      <c r="F25" s="13" t="s">
        <v>229</v>
      </c>
    </row>
    <row r="26" spans="1:6" ht="54.75" thickBot="1">
      <c r="A26" s="57" t="s">
        <v>98</v>
      </c>
      <c r="B26" s="20" t="s">
        <v>52</v>
      </c>
      <c r="C26" s="14" t="s">
        <v>99</v>
      </c>
      <c r="D26" s="14" t="s">
        <v>100</v>
      </c>
      <c r="E26" s="14" t="s">
        <v>17</v>
      </c>
      <c r="F26" s="15" t="s">
        <v>230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DEDD-4AEC-440C-B0C5-517181446022}">
  <dimension ref="A1:I71"/>
  <sheetViews>
    <sheetView zoomScale="87" zoomScaleNormal="87" workbookViewId="0">
      <selection activeCell="F3" sqref="F3"/>
    </sheetView>
  </sheetViews>
  <sheetFormatPr defaultRowHeight="14.25"/>
  <cols>
    <col min="1" max="1" width="6.75" bestFit="1" customWidth="1"/>
    <col min="2" max="2" width="18.75" bestFit="1" customWidth="1"/>
    <col min="3" max="3" width="12.25" bestFit="1" customWidth="1"/>
    <col min="4" max="4" width="24.875" bestFit="1" customWidth="1"/>
    <col min="7" max="7" width="14.75" customWidth="1"/>
    <col min="8" max="8" width="14" customWidth="1"/>
    <col min="9" max="9" width="21.875" bestFit="1" customWidth="1"/>
    <col min="14" max="15" width="9" customWidth="1"/>
  </cols>
  <sheetData>
    <row r="1" spans="1:9" ht="15.75" thickBot="1">
      <c r="A1" s="149" t="s">
        <v>231</v>
      </c>
      <c r="B1" s="150"/>
      <c r="C1" s="150"/>
      <c r="D1" s="151"/>
      <c r="F1" s="149" t="s">
        <v>232</v>
      </c>
      <c r="G1" s="150"/>
      <c r="H1" s="150"/>
      <c r="I1" s="151"/>
    </row>
    <row r="2" spans="1:9" ht="15" thickBot="1"/>
    <row r="3" spans="1:9" ht="15.75" thickBot="1">
      <c r="A3" s="58" t="s">
        <v>101</v>
      </c>
      <c r="B3" s="59" t="s">
        <v>102</v>
      </c>
      <c r="C3" s="59" t="s">
        <v>103</v>
      </c>
      <c r="D3" s="59" t="s">
        <v>104</v>
      </c>
      <c r="E3" s="1"/>
      <c r="F3" s="60" t="s">
        <v>101</v>
      </c>
      <c r="G3" s="61" t="s">
        <v>102</v>
      </c>
      <c r="H3" s="61" t="s">
        <v>103</v>
      </c>
      <c r="I3" s="62" t="s">
        <v>104</v>
      </c>
    </row>
    <row r="4" spans="1:9" ht="29.25">
      <c r="A4" s="63" t="s">
        <v>105</v>
      </c>
      <c r="B4" s="2" t="s">
        <v>106</v>
      </c>
      <c r="C4" s="3" t="s">
        <v>107</v>
      </c>
      <c r="D4" s="4">
        <v>10649142827.9587</v>
      </c>
      <c r="E4" s="1"/>
      <c r="F4" s="65" t="s">
        <v>105</v>
      </c>
      <c r="G4" s="8" t="s">
        <v>106</v>
      </c>
      <c r="H4" s="9" t="s">
        <v>175</v>
      </c>
      <c r="I4" s="10">
        <v>10660052678.242599</v>
      </c>
    </row>
    <row r="5" spans="1:9" ht="29.25">
      <c r="A5" s="64" t="s">
        <v>105</v>
      </c>
      <c r="B5" s="5" t="s">
        <v>108</v>
      </c>
      <c r="C5" s="6" t="s">
        <v>107</v>
      </c>
      <c r="D5" s="7">
        <v>1813910069.5785501</v>
      </c>
      <c r="E5" s="1"/>
      <c r="F5" s="64" t="s">
        <v>105</v>
      </c>
      <c r="G5" s="5" t="s">
        <v>108</v>
      </c>
      <c r="H5" s="6" t="s">
        <v>175</v>
      </c>
      <c r="I5" s="7">
        <v>1824894324.54178</v>
      </c>
    </row>
    <row r="6" spans="1:9" ht="29.25">
      <c r="A6" s="64" t="s">
        <v>105</v>
      </c>
      <c r="B6" s="5" t="s">
        <v>109</v>
      </c>
      <c r="C6" s="6" t="s">
        <v>107</v>
      </c>
      <c r="D6" s="7">
        <v>1218964223.60902</v>
      </c>
      <c r="E6" s="1"/>
      <c r="F6" s="64" t="s">
        <v>105</v>
      </c>
      <c r="G6" s="5" t="s">
        <v>109</v>
      </c>
      <c r="H6" s="6" t="s">
        <v>175</v>
      </c>
      <c r="I6" s="7">
        <v>1229990328.0555401</v>
      </c>
    </row>
    <row r="7" spans="1:9" ht="43.5">
      <c r="A7" s="64" t="s">
        <v>105</v>
      </c>
      <c r="B7" s="5" t="s">
        <v>110</v>
      </c>
      <c r="C7" s="6" t="s">
        <v>107</v>
      </c>
      <c r="D7" s="7">
        <v>100170361.235585</v>
      </c>
      <c r="E7" s="1"/>
      <c r="F7" s="64" t="s">
        <v>105</v>
      </c>
      <c r="G7" s="5" t="s">
        <v>110</v>
      </c>
      <c r="H7" s="6" t="s">
        <v>175</v>
      </c>
      <c r="I7" s="7">
        <v>100128511.75229</v>
      </c>
    </row>
    <row r="8" spans="1:9" ht="57.75">
      <c r="A8" s="64" t="s">
        <v>105</v>
      </c>
      <c r="B8" s="5" t="s">
        <v>111</v>
      </c>
      <c r="C8" s="6" t="s">
        <v>107</v>
      </c>
      <c r="D8" s="7">
        <v>584661.46688296006</v>
      </c>
      <c r="E8" s="1"/>
      <c r="F8" s="64" t="s">
        <v>105</v>
      </c>
      <c r="G8" s="5" t="s">
        <v>111</v>
      </c>
      <c r="H8" s="6" t="s">
        <v>175</v>
      </c>
      <c r="I8" s="7">
        <v>584661.46688296006</v>
      </c>
    </row>
    <row r="9" spans="1:9" ht="43.5">
      <c r="A9" s="64" t="s">
        <v>105</v>
      </c>
      <c r="B9" s="5" t="s">
        <v>112</v>
      </c>
      <c r="C9" s="6" t="s">
        <v>107</v>
      </c>
      <c r="D9" s="7">
        <v>453870957.15106797</v>
      </c>
      <c r="E9" s="1"/>
      <c r="F9" s="64" t="s">
        <v>105</v>
      </c>
      <c r="G9" s="5" t="s">
        <v>112</v>
      </c>
      <c r="H9" s="6" t="s">
        <v>175</v>
      </c>
      <c r="I9" s="7">
        <v>453870957.15106797</v>
      </c>
    </row>
    <row r="10" spans="1:9" ht="29.25">
      <c r="A10" s="64" t="s">
        <v>105</v>
      </c>
      <c r="B10" s="5" t="s">
        <v>113</v>
      </c>
      <c r="C10" s="6" t="s">
        <v>107</v>
      </c>
      <c r="D10" s="7">
        <v>86620.788721479999</v>
      </c>
      <c r="E10" s="1"/>
      <c r="F10" s="64" t="s">
        <v>105</v>
      </c>
      <c r="G10" s="5" t="s">
        <v>113</v>
      </c>
      <c r="H10" s="6" t="s">
        <v>175</v>
      </c>
      <c r="I10" s="7">
        <v>86620.788721479999</v>
      </c>
    </row>
    <row r="11" spans="1:9" ht="29.25">
      <c r="A11" s="64" t="s">
        <v>105</v>
      </c>
      <c r="B11" s="5" t="s">
        <v>114</v>
      </c>
      <c r="C11" s="6" t="s">
        <v>107</v>
      </c>
      <c r="D11" s="7">
        <v>40233245.327278197</v>
      </c>
      <c r="E11" s="1"/>
      <c r="F11" s="64" t="s">
        <v>105</v>
      </c>
      <c r="G11" s="5" t="s">
        <v>114</v>
      </c>
      <c r="H11" s="6" t="s">
        <v>175</v>
      </c>
      <c r="I11" s="7">
        <v>40233245.327278197</v>
      </c>
    </row>
    <row r="12" spans="1:9" ht="29.25">
      <c r="A12" s="64" t="s">
        <v>105</v>
      </c>
      <c r="B12" s="5" t="s">
        <v>115</v>
      </c>
      <c r="C12" s="6" t="s">
        <v>107</v>
      </c>
      <c r="D12" s="7">
        <v>638342623.86726105</v>
      </c>
      <c r="E12" s="1"/>
      <c r="F12" s="64" t="s">
        <v>105</v>
      </c>
      <c r="G12" s="5" t="s">
        <v>115</v>
      </c>
      <c r="H12" s="6" t="s">
        <v>175</v>
      </c>
      <c r="I12" s="7">
        <v>637801570.27163994</v>
      </c>
    </row>
    <row r="13" spans="1:9" ht="29.25">
      <c r="A13" s="64" t="s">
        <v>105</v>
      </c>
      <c r="B13" s="5" t="s">
        <v>116</v>
      </c>
      <c r="C13" s="6" t="s">
        <v>107</v>
      </c>
      <c r="D13" s="7">
        <v>-104650523.863478</v>
      </c>
      <c r="E13" s="1"/>
      <c r="F13" s="64" t="s">
        <v>105</v>
      </c>
      <c r="G13" s="5" t="s">
        <v>116</v>
      </c>
      <c r="H13" s="6" t="s">
        <v>175</v>
      </c>
      <c r="I13" s="7">
        <v>-105191577.45909899</v>
      </c>
    </row>
    <row r="14" spans="1:9" ht="29.25">
      <c r="A14" s="64" t="s">
        <v>105</v>
      </c>
      <c r="B14" s="5" t="s">
        <v>117</v>
      </c>
      <c r="C14" s="6" t="s">
        <v>107</v>
      </c>
      <c r="D14" s="7">
        <v>1846452.67712068</v>
      </c>
      <c r="E14" s="1"/>
      <c r="F14" s="64" t="s">
        <v>105</v>
      </c>
      <c r="G14" s="5" t="s">
        <v>117</v>
      </c>
      <c r="H14" s="6" t="s">
        <v>175</v>
      </c>
      <c r="I14" s="7">
        <v>1846452.67712068</v>
      </c>
    </row>
    <row r="15" spans="1:9" ht="29.25">
      <c r="A15" s="64" t="s">
        <v>105</v>
      </c>
      <c r="B15" s="5" t="s">
        <v>118</v>
      </c>
      <c r="C15" s="6" t="s">
        <v>107</v>
      </c>
      <c r="D15" s="7">
        <v>712146395.05980098</v>
      </c>
      <c r="E15" s="1"/>
      <c r="F15" s="64" t="s">
        <v>105</v>
      </c>
      <c r="G15" s="5" t="s">
        <v>118</v>
      </c>
      <c r="H15" s="6" t="s">
        <v>175</v>
      </c>
      <c r="I15" s="7">
        <v>712146395.05980098</v>
      </c>
    </row>
    <row r="16" spans="1:9" ht="29.25">
      <c r="A16" s="64" t="s">
        <v>105</v>
      </c>
      <c r="B16" s="5" t="s">
        <v>119</v>
      </c>
      <c r="C16" s="6" t="s">
        <v>107</v>
      </c>
      <c r="D16" s="7">
        <v>29000299.9938173</v>
      </c>
      <c r="E16" s="1"/>
      <c r="F16" s="64" t="s">
        <v>105</v>
      </c>
      <c r="G16" s="5" t="s">
        <v>119</v>
      </c>
      <c r="H16" s="6" t="s">
        <v>175</v>
      </c>
      <c r="I16" s="7">
        <v>29000299.9938173</v>
      </c>
    </row>
    <row r="17" spans="1:9" ht="29.25">
      <c r="A17" s="64" t="s">
        <v>105</v>
      </c>
      <c r="B17" s="5" t="s">
        <v>120</v>
      </c>
      <c r="C17" s="6" t="s">
        <v>107</v>
      </c>
      <c r="D17" s="7">
        <v>8196890134.5129204</v>
      </c>
      <c r="E17" s="1"/>
      <c r="F17" s="64" t="s">
        <v>105</v>
      </c>
      <c r="G17" s="5" t="s">
        <v>120</v>
      </c>
      <c r="H17" s="6" t="s">
        <v>175</v>
      </c>
      <c r="I17" s="7">
        <v>8197356783.4292202</v>
      </c>
    </row>
    <row r="18" spans="1:9" ht="43.5">
      <c r="A18" s="64" t="s">
        <v>105</v>
      </c>
      <c r="B18" s="5" t="s">
        <v>121</v>
      </c>
      <c r="C18" s="6" t="s">
        <v>107</v>
      </c>
      <c r="D18" s="7">
        <v>660933270.16078699</v>
      </c>
      <c r="E18" s="1"/>
      <c r="F18" s="64" t="s">
        <v>105</v>
      </c>
      <c r="G18" s="5" t="s">
        <v>121</v>
      </c>
      <c r="H18" s="6" t="s">
        <v>175</v>
      </c>
      <c r="I18" s="7">
        <v>661438029.43829596</v>
      </c>
    </row>
    <row r="19" spans="1:9" ht="43.5">
      <c r="A19" s="64" t="s">
        <v>105</v>
      </c>
      <c r="B19" s="5" t="s">
        <v>122</v>
      </c>
      <c r="C19" s="6" t="s">
        <v>107</v>
      </c>
      <c r="D19" s="7">
        <v>12954945867.5168</v>
      </c>
      <c r="E19" s="1"/>
      <c r="F19" s="64" t="s">
        <v>105</v>
      </c>
      <c r="G19" s="5" t="s">
        <v>122</v>
      </c>
      <c r="H19" s="6" t="s">
        <v>175</v>
      </c>
      <c r="I19" s="7">
        <v>12954945867.5168</v>
      </c>
    </row>
    <row r="20" spans="1:9" ht="29.25">
      <c r="A20" s="64" t="s">
        <v>105</v>
      </c>
      <c r="B20" s="5" t="s">
        <v>123</v>
      </c>
      <c r="C20" s="6" t="s">
        <v>107</v>
      </c>
      <c r="D20" s="7">
        <v>1036880.4117065599</v>
      </c>
      <c r="E20" s="1"/>
      <c r="F20" s="64" t="s">
        <v>105</v>
      </c>
      <c r="G20" s="5" t="s">
        <v>123</v>
      </c>
      <c r="H20" s="6" t="s">
        <v>175</v>
      </c>
      <c r="I20" s="7">
        <v>1036880.4117065599</v>
      </c>
    </row>
    <row r="21" spans="1:9" ht="43.5">
      <c r="A21" s="64" t="s">
        <v>105</v>
      </c>
      <c r="B21" s="5" t="s">
        <v>124</v>
      </c>
      <c r="C21" s="6" t="s">
        <v>107</v>
      </c>
      <c r="D21" s="7">
        <v>-342749291.15471202</v>
      </c>
      <c r="E21" s="1"/>
      <c r="F21" s="64" t="s">
        <v>105</v>
      </c>
      <c r="G21" s="5" t="s">
        <v>124</v>
      </c>
      <c r="H21" s="6" t="s">
        <v>175</v>
      </c>
      <c r="I21" s="7">
        <v>-342749291.15471202</v>
      </c>
    </row>
    <row r="22" spans="1:9" ht="43.5">
      <c r="A22" s="64" t="s">
        <v>105</v>
      </c>
      <c r="B22" s="5" t="s">
        <v>125</v>
      </c>
      <c r="C22" s="6" t="s">
        <v>107</v>
      </c>
      <c r="D22" s="7">
        <v>-30152746.058849499</v>
      </c>
      <c r="E22" s="1"/>
      <c r="F22" s="64" t="s">
        <v>105</v>
      </c>
      <c r="G22" s="5" t="s">
        <v>125</v>
      </c>
      <c r="H22" s="6" t="s">
        <v>175</v>
      </c>
      <c r="I22" s="7">
        <v>-30190856.4200509</v>
      </c>
    </row>
    <row r="23" spans="1:9" ht="43.5">
      <c r="A23" s="64" t="s">
        <v>105</v>
      </c>
      <c r="B23" s="5" t="s">
        <v>126</v>
      </c>
      <c r="C23" s="6" t="s">
        <v>107</v>
      </c>
      <c r="D23" s="7">
        <v>-5047123846.3628597</v>
      </c>
      <c r="E23" s="1"/>
      <c r="F23" s="64" t="s">
        <v>105</v>
      </c>
      <c r="G23" s="5" t="s">
        <v>126</v>
      </c>
      <c r="H23" s="6" t="s">
        <v>175</v>
      </c>
      <c r="I23" s="7">
        <v>-5047123846.3628597</v>
      </c>
    </row>
    <row r="24" spans="1:9" ht="29.25">
      <c r="A24" s="64" t="s">
        <v>105</v>
      </c>
      <c r="B24" s="5" t="s">
        <v>127</v>
      </c>
      <c r="C24" s="6" t="s">
        <v>107</v>
      </c>
      <c r="D24" s="7">
        <v>-10649142827.933599</v>
      </c>
      <c r="E24" s="1"/>
      <c r="F24" s="64" t="s">
        <v>105</v>
      </c>
      <c r="G24" s="5" t="s">
        <v>127</v>
      </c>
      <c r="H24" s="6" t="s">
        <v>175</v>
      </c>
      <c r="I24" s="7">
        <v>-10660052678.217501</v>
      </c>
    </row>
    <row r="25" spans="1:9" ht="29.25">
      <c r="A25" s="64" t="s">
        <v>105</v>
      </c>
      <c r="B25" s="5" t="s">
        <v>128</v>
      </c>
      <c r="C25" s="6" t="s">
        <v>107</v>
      </c>
      <c r="D25" s="7">
        <v>-1082935039.6531</v>
      </c>
      <c r="E25" s="1"/>
      <c r="F25" s="64" t="s">
        <v>105</v>
      </c>
      <c r="G25" s="5" t="s">
        <v>128</v>
      </c>
      <c r="H25" s="6" t="s">
        <v>175</v>
      </c>
      <c r="I25" s="7">
        <v>-1081130314.3223701</v>
      </c>
    </row>
    <row r="26" spans="1:9" ht="29.25">
      <c r="A26" s="64" t="s">
        <v>105</v>
      </c>
      <c r="B26" s="5" t="s">
        <v>129</v>
      </c>
      <c r="C26" s="6" t="s">
        <v>107</v>
      </c>
      <c r="D26" s="7">
        <v>-276099637.61067998</v>
      </c>
      <c r="E26" s="1"/>
      <c r="F26" s="64" t="s">
        <v>105</v>
      </c>
      <c r="G26" s="5" t="s">
        <v>129</v>
      </c>
      <c r="H26" s="6" t="s">
        <v>175</v>
      </c>
      <c r="I26" s="7">
        <v>-273920372.61753798</v>
      </c>
    </row>
    <row r="27" spans="1:9" ht="43.5">
      <c r="A27" s="64" t="s">
        <v>105</v>
      </c>
      <c r="B27" s="5" t="s">
        <v>130</v>
      </c>
      <c r="C27" s="6" t="s">
        <v>107</v>
      </c>
      <c r="D27" s="7">
        <v>-14086270.7041668</v>
      </c>
      <c r="E27" s="1"/>
      <c r="F27" s="64" t="s">
        <v>105</v>
      </c>
      <c r="G27" s="5" t="s">
        <v>130</v>
      </c>
      <c r="H27" s="6" t="s">
        <v>175</v>
      </c>
      <c r="I27" s="7">
        <v>-14086270.7041668</v>
      </c>
    </row>
    <row r="28" spans="1:9" ht="29.25">
      <c r="A28" s="64" t="s">
        <v>105</v>
      </c>
      <c r="B28" s="5" t="s">
        <v>131</v>
      </c>
      <c r="C28" s="6" t="s">
        <v>107</v>
      </c>
      <c r="D28" s="7">
        <v>-64311305.841056399</v>
      </c>
      <c r="E28" s="1"/>
      <c r="F28" s="64" t="s">
        <v>105</v>
      </c>
      <c r="G28" s="5" t="s">
        <v>131</v>
      </c>
      <c r="H28" s="6" t="s">
        <v>175</v>
      </c>
      <c r="I28" s="7">
        <v>-64311305.841056399</v>
      </c>
    </row>
    <row r="29" spans="1:9" ht="43.5">
      <c r="A29" s="64" t="s">
        <v>105</v>
      </c>
      <c r="B29" s="5" t="s">
        <v>132</v>
      </c>
      <c r="C29" s="6" t="s">
        <v>107</v>
      </c>
      <c r="D29" s="7">
        <v>-22911143.9714747</v>
      </c>
      <c r="E29" s="1"/>
      <c r="F29" s="64" t="s">
        <v>105</v>
      </c>
      <c r="G29" s="5" t="s">
        <v>132</v>
      </c>
      <c r="H29" s="6" t="s">
        <v>175</v>
      </c>
      <c r="I29" s="7">
        <v>-22911143.9714747</v>
      </c>
    </row>
    <row r="30" spans="1:9" ht="29.25">
      <c r="A30" s="64" t="s">
        <v>105</v>
      </c>
      <c r="B30" s="5" t="s">
        <v>133</v>
      </c>
      <c r="C30" s="6" t="s">
        <v>107</v>
      </c>
      <c r="D30" s="7">
        <v>-90505179.632926494</v>
      </c>
      <c r="E30" s="1"/>
      <c r="F30" s="64" t="s">
        <v>105</v>
      </c>
      <c r="G30" s="5" t="s">
        <v>133</v>
      </c>
      <c r="H30" s="6" t="s">
        <v>175</v>
      </c>
      <c r="I30" s="7">
        <v>-90505179.632926494</v>
      </c>
    </row>
    <row r="31" spans="1:9" ht="29.25">
      <c r="A31" s="64" t="s">
        <v>105</v>
      </c>
      <c r="B31" s="5" t="s">
        <v>134</v>
      </c>
      <c r="C31" s="6" t="s">
        <v>107</v>
      </c>
      <c r="D31" s="7">
        <v>-393809038.05464101</v>
      </c>
      <c r="E31" s="1"/>
      <c r="F31" s="64" t="s">
        <v>105</v>
      </c>
      <c r="G31" s="5" t="s">
        <v>134</v>
      </c>
      <c r="H31" s="6" t="s">
        <v>175</v>
      </c>
      <c r="I31" s="7">
        <v>-393809038.05464101</v>
      </c>
    </row>
    <row r="32" spans="1:9" ht="57.75">
      <c r="A32" s="64" t="s">
        <v>105</v>
      </c>
      <c r="B32" s="5" t="s">
        <v>135</v>
      </c>
      <c r="C32" s="6" t="s">
        <v>107</v>
      </c>
      <c r="D32" s="7">
        <v>-6891323.14154753</v>
      </c>
      <c r="E32" s="1"/>
      <c r="F32" s="64" t="s">
        <v>105</v>
      </c>
      <c r="G32" s="5" t="s">
        <v>135</v>
      </c>
      <c r="H32" s="6" t="s">
        <v>175</v>
      </c>
      <c r="I32" s="7">
        <v>-6891323.14154753</v>
      </c>
    </row>
    <row r="33" spans="1:9" ht="29.25">
      <c r="A33" s="64" t="s">
        <v>105</v>
      </c>
      <c r="B33" s="5" t="s">
        <v>136</v>
      </c>
      <c r="C33" s="6" t="s">
        <v>107</v>
      </c>
      <c r="D33" s="7">
        <v>-61111485.6948248</v>
      </c>
      <c r="E33" s="1"/>
      <c r="F33" s="64" t="s">
        <v>105</v>
      </c>
      <c r="G33" s="5" t="s">
        <v>136</v>
      </c>
      <c r="H33" s="6" t="s">
        <v>175</v>
      </c>
      <c r="I33" s="7">
        <v>-61111485.6948248</v>
      </c>
    </row>
    <row r="34" spans="1:9" ht="29.25">
      <c r="A34" s="64" t="s">
        <v>105</v>
      </c>
      <c r="B34" s="5" t="s">
        <v>137</v>
      </c>
      <c r="C34" s="6" t="s">
        <v>107</v>
      </c>
      <c r="D34" s="7">
        <v>-153400387.498395</v>
      </c>
      <c r="E34" s="1"/>
      <c r="F34" s="64" t="s">
        <v>105</v>
      </c>
      <c r="G34" s="5" t="s">
        <v>137</v>
      </c>
      <c r="H34" s="6" t="s">
        <v>175</v>
      </c>
      <c r="I34" s="7">
        <v>-153584194.66419899</v>
      </c>
    </row>
    <row r="35" spans="1:9" ht="29.25">
      <c r="A35" s="64" t="s">
        <v>105</v>
      </c>
      <c r="B35" s="5" t="s">
        <v>138</v>
      </c>
      <c r="C35" s="6" t="s">
        <v>107</v>
      </c>
      <c r="D35" s="7">
        <v>-7535763775.3742504</v>
      </c>
      <c r="E35" s="1"/>
      <c r="F35" s="64" t="s">
        <v>105</v>
      </c>
      <c r="G35" s="5" t="s">
        <v>138</v>
      </c>
      <c r="H35" s="6" t="s">
        <v>175</v>
      </c>
      <c r="I35" s="7">
        <v>-7535763775.3742504</v>
      </c>
    </row>
    <row r="36" spans="1:9" ht="29.25">
      <c r="A36" s="64" t="s">
        <v>105</v>
      </c>
      <c r="B36" s="5" t="s">
        <v>139</v>
      </c>
      <c r="C36" s="6" t="s">
        <v>107</v>
      </c>
      <c r="D36" s="7">
        <v>-5649256635.7003899</v>
      </c>
      <c r="E36" s="1"/>
      <c r="F36" s="64" t="s">
        <v>105</v>
      </c>
      <c r="G36" s="5" t="s">
        <v>139</v>
      </c>
      <c r="H36" s="6" t="s">
        <v>175</v>
      </c>
      <c r="I36" s="7">
        <v>-5649256635.7003899</v>
      </c>
    </row>
    <row r="37" spans="1:9" ht="29.25">
      <c r="A37" s="64" t="s">
        <v>105</v>
      </c>
      <c r="B37" s="5" t="s">
        <v>140</v>
      </c>
      <c r="C37" s="6" t="s">
        <v>107</v>
      </c>
      <c r="D37" s="7">
        <v>-38502464.614239797</v>
      </c>
      <c r="E37" s="1"/>
      <c r="F37" s="64" t="s">
        <v>105</v>
      </c>
      <c r="G37" s="5" t="s">
        <v>140</v>
      </c>
      <c r="H37" s="6" t="s">
        <v>175</v>
      </c>
      <c r="I37" s="7">
        <v>-38502464.614239797</v>
      </c>
    </row>
    <row r="38" spans="1:9" ht="29.25">
      <c r="A38" s="64" t="s">
        <v>105</v>
      </c>
      <c r="B38" s="5" t="s">
        <v>141</v>
      </c>
      <c r="C38" s="6" t="s">
        <v>107</v>
      </c>
      <c r="D38" s="7">
        <v>-1848004675.0596199</v>
      </c>
      <c r="E38" s="1"/>
      <c r="F38" s="64" t="s">
        <v>105</v>
      </c>
      <c r="G38" s="5" t="s">
        <v>141</v>
      </c>
      <c r="H38" s="6" t="s">
        <v>175</v>
      </c>
      <c r="I38" s="7">
        <v>-1848004675.0596199</v>
      </c>
    </row>
    <row r="39" spans="1:9" ht="29.25">
      <c r="A39" s="64" t="s">
        <v>105</v>
      </c>
      <c r="B39" s="5" t="s">
        <v>142</v>
      </c>
      <c r="C39" s="6" t="s">
        <v>107</v>
      </c>
      <c r="D39" s="7">
        <v>-2030444012.90625</v>
      </c>
      <c r="E39" s="1"/>
      <c r="F39" s="64" t="s">
        <v>105</v>
      </c>
      <c r="G39" s="5" t="s">
        <v>142</v>
      </c>
      <c r="H39" s="6" t="s">
        <v>175</v>
      </c>
      <c r="I39" s="7">
        <v>-2043158588.52088</v>
      </c>
    </row>
    <row r="40" spans="1:9" ht="29.25">
      <c r="A40" s="64" t="s">
        <v>105</v>
      </c>
      <c r="B40" s="5" t="s">
        <v>143</v>
      </c>
      <c r="C40" s="6" t="s">
        <v>107</v>
      </c>
      <c r="D40" s="7">
        <v>-309618939</v>
      </c>
      <c r="E40" s="1"/>
      <c r="F40" s="64" t="s">
        <v>105</v>
      </c>
      <c r="G40" s="5" t="s">
        <v>143</v>
      </c>
      <c r="H40" s="6" t="s">
        <v>175</v>
      </c>
      <c r="I40" s="7">
        <v>-309618939</v>
      </c>
    </row>
    <row r="41" spans="1:9" ht="29.25">
      <c r="A41" s="64" t="s">
        <v>105</v>
      </c>
      <c r="B41" s="5" t="s">
        <v>144</v>
      </c>
      <c r="C41" s="6" t="s">
        <v>107</v>
      </c>
      <c r="D41" s="7">
        <v>-205443.79163732001</v>
      </c>
      <c r="E41" s="1"/>
      <c r="F41" s="64" t="s">
        <v>105</v>
      </c>
      <c r="G41" s="5" t="s">
        <v>144</v>
      </c>
      <c r="H41" s="6" t="s">
        <v>175</v>
      </c>
      <c r="I41" s="7">
        <v>-205443.79163732001</v>
      </c>
    </row>
    <row r="42" spans="1:9" ht="29.25">
      <c r="A42" s="64" t="s">
        <v>105</v>
      </c>
      <c r="B42" s="5" t="s">
        <v>145</v>
      </c>
      <c r="C42" s="6" t="s">
        <v>107</v>
      </c>
      <c r="D42" s="7">
        <v>-61923787.799999997</v>
      </c>
      <c r="E42" s="1"/>
      <c r="F42" s="64" t="s">
        <v>105</v>
      </c>
      <c r="G42" s="5" t="s">
        <v>145</v>
      </c>
      <c r="H42" s="6" t="s">
        <v>175</v>
      </c>
      <c r="I42" s="7">
        <v>-61923787.799999997</v>
      </c>
    </row>
    <row r="43" spans="1:9" ht="43.5">
      <c r="A43" s="64" t="s">
        <v>105</v>
      </c>
      <c r="B43" s="5" t="s">
        <v>146</v>
      </c>
      <c r="C43" s="6" t="s">
        <v>107</v>
      </c>
      <c r="D43" s="7">
        <v>-3143802181.3099599</v>
      </c>
      <c r="E43" s="1"/>
      <c r="F43" s="64" t="s">
        <v>105</v>
      </c>
      <c r="G43" s="5" t="s">
        <v>146</v>
      </c>
      <c r="H43" s="6" t="s">
        <v>175</v>
      </c>
      <c r="I43" s="7">
        <v>-3143802181.3099599</v>
      </c>
    </row>
    <row r="44" spans="1:9" ht="29.25">
      <c r="A44" s="64" t="s">
        <v>105</v>
      </c>
      <c r="B44" s="5" t="s">
        <v>147</v>
      </c>
      <c r="C44" s="6" t="s">
        <v>107</v>
      </c>
      <c r="D44" s="7">
        <v>1512631729.1691501</v>
      </c>
      <c r="E44" s="1"/>
      <c r="F44" s="64" t="s">
        <v>105</v>
      </c>
      <c r="G44" s="5" t="s">
        <v>147</v>
      </c>
      <c r="H44" s="6" t="s">
        <v>175</v>
      </c>
      <c r="I44" s="7">
        <v>1512631729.1691501</v>
      </c>
    </row>
    <row r="45" spans="1:9" ht="29.25">
      <c r="A45" s="64" t="s">
        <v>105</v>
      </c>
      <c r="B45" s="5" t="s">
        <v>148</v>
      </c>
      <c r="C45" s="6" t="s">
        <v>107</v>
      </c>
      <c r="D45" s="7">
        <v>-27525390.173799802</v>
      </c>
      <c r="E45" s="1"/>
      <c r="F45" s="64" t="s">
        <v>105</v>
      </c>
      <c r="G45" s="5" t="s">
        <v>148</v>
      </c>
      <c r="H45" s="6" t="s">
        <v>175</v>
      </c>
      <c r="I45" s="7">
        <v>-40239965.788435698</v>
      </c>
    </row>
    <row r="46" spans="1:9" ht="29.25">
      <c r="A46" s="64" t="s">
        <v>105</v>
      </c>
      <c r="B46" s="5" t="s">
        <v>149</v>
      </c>
      <c r="C46" s="6" t="s">
        <v>107</v>
      </c>
      <c r="D46" s="7">
        <v>6730501277.2428703</v>
      </c>
      <c r="E46" s="1"/>
      <c r="F46" s="64" t="s">
        <v>105</v>
      </c>
      <c r="G46" s="5" t="s">
        <v>149</v>
      </c>
      <c r="H46" s="6" t="s">
        <v>175</v>
      </c>
      <c r="I46" s="7">
        <v>6738312459.7566099</v>
      </c>
    </row>
    <row r="47" spans="1:9" ht="29.25">
      <c r="A47" s="64" t="s">
        <v>105</v>
      </c>
      <c r="B47" s="5" t="s">
        <v>150</v>
      </c>
      <c r="C47" s="6" t="s">
        <v>107</v>
      </c>
      <c r="D47" s="7">
        <v>-472047386.97105098</v>
      </c>
      <c r="E47" s="1"/>
      <c r="F47" s="64" t="s">
        <v>105</v>
      </c>
      <c r="G47" s="5" t="s">
        <v>150</v>
      </c>
      <c r="H47" s="6" t="s">
        <v>175</v>
      </c>
      <c r="I47" s="7">
        <v>-472633510.308375</v>
      </c>
    </row>
    <row r="48" spans="1:9" ht="29.25">
      <c r="A48" s="64" t="s">
        <v>105</v>
      </c>
      <c r="B48" s="5" t="s">
        <v>151</v>
      </c>
      <c r="C48" s="6" t="s">
        <v>107</v>
      </c>
      <c r="D48" s="7">
        <v>-1361939957.8835399</v>
      </c>
      <c r="E48" s="1"/>
      <c r="F48" s="64" t="s">
        <v>105</v>
      </c>
      <c r="G48" s="5" t="s">
        <v>151</v>
      </c>
      <c r="H48" s="6" t="s">
        <v>175</v>
      </c>
      <c r="I48" s="7">
        <v>-1362665698.5002401</v>
      </c>
    </row>
    <row r="49" spans="1:9" ht="43.5">
      <c r="A49" s="64" t="s">
        <v>105</v>
      </c>
      <c r="B49" s="5" t="s">
        <v>152</v>
      </c>
      <c r="C49" s="6" t="s">
        <v>107</v>
      </c>
      <c r="D49" s="7">
        <v>-603613006.08067596</v>
      </c>
      <c r="E49" s="1"/>
      <c r="F49" s="64" t="s">
        <v>105</v>
      </c>
      <c r="G49" s="5" t="s">
        <v>152</v>
      </c>
      <c r="H49" s="6" t="s">
        <v>175</v>
      </c>
      <c r="I49" s="7">
        <v>-603651116.44187796</v>
      </c>
    </row>
    <row r="50" spans="1:9" ht="43.5">
      <c r="A50" s="64" t="s">
        <v>105</v>
      </c>
      <c r="B50" s="5" t="s">
        <v>153</v>
      </c>
      <c r="C50" s="6" t="s">
        <v>107</v>
      </c>
      <c r="D50" s="7">
        <v>4292900926.3076</v>
      </c>
      <c r="E50" s="1"/>
      <c r="F50" s="64" t="s">
        <v>105</v>
      </c>
      <c r="G50" s="5" t="s">
        <v>153</v>
      </c>
      <c r="H50" s="6" t="s">
        <v>175</v>
      </c>
      <c r="I50" s="7">
        <v>4299362134.5061197</v>
      </c>
    </row>
    <row r="51" spans="1:9" ht="29.25">
      <c r="A51" s="64" t="s">
        <v>105</v>
      </c>
      <c r="B51" s="5" t="s">
        <v>154</v>
      </c>
      <c r="C51" s="6" t="s">
        <v>107</v>
      </c>
      <c r="D51" s="7">
        <v>90757420.073920101</v>
      </c>
      <c r="E51" s="1"/>
      <c r="F51" s="64" t="s">
        <v>105</v>
      </c>
      <c r="G51" s="5" t="s">
        <v>154</v>
      </c>
      <c r="H51" s="6" t="s">
        <v>175</v>
      </c>
      <c r="I51" s="7">
        <v>89958295.367727205</v>
      </c>
    </row>
    <row r="52" spans="1:9" ht="43.5">
      <c r="A52" s="64" t="s">
        <v>105</v>
      </c>
      <c r="B52" s="5" t="s">
        <v>155</v>
      </c>
      <c r="C52" s="6" t="s">
        <v>107</v>
      </c>
      <c r="D52" s="7">
        <v>-675081640.56922305</v>
      </c>
      <c r="E52" s="1"/>
      <c r="F52" s="64" t="s">
        <v>105</v>
      </c>
      <c r="G52" s="5" t="s">
        <v>155</v>
      </c>
      <c r="H52" s="6" t="s">
        <v>175</v>
      </c>
      <c r="I52" s="7">
        <v>-661367944.16191304</v>
      </c>
    </row>
    <row r="53" spans="1:9" ht="43.5">
      <c r="A53" s="64" t="s">
        <v>105</v>
      </c>
      <c r="B53" s="5" t="s">
        <v>156</v>
      </c>
      <c r="C53" s="6" t="s">
        <v>107</v>
      </c>
      <c r="D53" s="7">
        <v>-584324220.49530303</v>
      </c>
      <c r="E53" s="1"/>
      <c r="F53" s="64" t="s">
        <v>105</v>
      </c>
      <c r="G53" s="5" t="s">
        <v>156</v>
      </c>
      <c r="H53" s="6" t="s">
        <v>175</v>
      </c>
      <c r="I53" s="7">
        <v>-571409648.794186</v>
      </c>
    </row>
    <row r="54" spans="1:9" ht="43.5">
      <c r="A54" s="64" t="s">
        <v>105</v>
      </c>
      <c r="B54" s="5" t="s">
        <v>157</v>
      </c>
      <c r="C54" s="6" t="s">
        <v>107</v>
      </c>
      <c r="D54" s="7">
        <v>39084400.543559998</v>
      </c>
      <c r="E54" s="1"/>
      <c r="F54" s="64" t="s">
        <v>105</v>
      </c>
      <c r="G54" s="5" t="s">
        <v>157</v>
      </c>
      <c r="H54" s="6" t="s">
        <v>175</v>
      </c>
      <c r="I54" s="7">
        <v>39084400.543559998</v>
      </c>
    </row>
    <row r="55" spans="1:9" ht="57.75">
      <c r="A55" s="64" t="s">
        <v>105</v>
      </c>
      <c r="B55" s="5" t="s">
        <v>158</v>
      </c>
      <c r="C55" s="6" t="s">
        <v>107</v>
      </c>
      <c r="D55" s="7">
        <v>3747661106.3558502</v>
      </c>
      <c r="E55" s="1"/>
      <c r="F55" s="64" t="s">
        <v>105</v>
      </c>
      <c r="G55" s="5" t="s">
        <v>158</v>
      </c>
      <c r="H55" s="6" t="s">
        <v>175</v>
      </c>
      <c r="I55" s="7">
        <v>3767036886.2554898</v>
      </c>
    </row>
    <row r="56" spans="1:9" ht="57.75">
      <c r="A56" s="64" t="s">
        <v>105</v>
      </c>
      <c r="B56" s="5" t="s">
        <v>159</v>
      </c>
      <c r="C56" s="6" t="s">
        <v>107</v>
      </c>
      <c r="D56" s="7">
        <v>-1288409362.0852301</v>
      </c>
      <c r="E56" s="1"/>
      <c r="F56" s="64" t="s">
        <v>105</v>
      </c>
      <c r="G56" s="5" t="s">
        <v>159</v>
      </c>
      <c r="H56" s="6" t="s">
        <v>175</v>
      </c>
      <c r="I56" s="7">
        <v>-1295070566.37024</v>
      </c>
    </row>
    <row r="57" spans="1:9" ht="43.5">
      <c r="A57" s="64" t="s">
        <v>105</v>
      </c>
      <c r="B57" s="5" t="s">
        <v>160</v>
      </c>
      <c r="C57" s="6" t="s">
        <v>107</v>
      </c>
      <c r="D57" s="7">
        <v>2459251744.2706199</v>
      </c>
      <c r="E57" s="1"/>
      <c r="F57" s="64" t="s">
        <v>105</v>
      </c>
      <c r="G57" s="5" t="s">
        <v>160</v>
      </c>
      <c r="H57" s="6" t="s">
        <v>175</v>
      </c>
      <c r="I57" s="7">
        <v>2471966319.8852501</v>
      </c>
    </row>
    <row r="58" spans="1:9" ht="57.75">
      <c r="A58" s="64" t="s">
        <v>105</v>
      </c>
      <c r="B58" s="5" t="s">
        <v>161</v>
      </c>
      <c r="C58" s="6" t="s">
        <v>107</v>
      </c>
      <c r="D58" s="7">
        <v>2459251744.2706199</v>
      </c>
      <c r="E58" s="1"/>
      <c r="F58" s="64" t="s">
        <v>105</v>
      </c>
      <c r="G58" s="5" t="s">
        <v>161</v>
      </c>
      <c r="H58" s="6" t="s">
        <v>175</v>
      </c>
      <c r="I58" s="7">
        <v>2471966319.8852501</v>
      </c>
    </row>
    <row r="59" spans="1:9" ht="29.25">
      <c r="A59" s="64" t="s">
        <v>105</v>
      </c>
      <c r="B59" s="5" t="s">
        <v>162</v>
      </c>
      <c r="C59" s="6" t="s">
        <v>107</v>
      </c>
      <c r="D59" s="7">
        <v>5194994488.6781101</v>
      </c>
      <c r="E59" s="1"/>
      <c r="F59" s="64" t="s">
        <v>105</v>
      </c>
      <c r="G59" s="5" t="s">
        <v>162</v>
      </c>
      <c r="H59" s="6" t="s">
        <v>175</v>
      </c>
      <c r="I59" s="7">
        <v>5201677614.4036398</v>
      </c>
    </row>
    <row r="60" spans="1:9" ht="29.25">
      <c r="A60" s="64" t="s">
        <v>105</v>
      </c>
      <c r="B60" s="5" t="s">
        <v>163</v>
      </c>
      <c r="C60" s="6" t="s">
        <v>107</v>
      </c>
      <c r="D60" s="7">
        <v>774615183.61497402</v>
      </c>
      <c r="E60" s="1"/>
      <c r="F60" s="64" t="s">
        <v>105</v>
      </c>
      <c r="G60" s="5" t="s">
        <v>163</v>
      </c>
      <c r="H60" s="6" t="s">
        <v>175</v>
      </c>
      <c r="I60" s="7">
        <v>774615183.61497402</v>
      </c>
    </row>
    <row r="61" spans="1:9" ht="29.25">
      <c r="A61" s="64" t="s">
        <v>105</v>
      </c>
      <c r="B61" s="5" t="s">
        <v>164</v>
      </c>
      <c r="C61" s="6" t="s">
        <v>107</v>
      </c>
      <c r="D61" s="7">
        <v>5404602728.1138</v>
      </c>
      <c r="E61" s="1"/>
      <c r="F61" s="64" t="s">
        <v>105</v>
      </c>
      <c r="G61" s="5" t="s">
        <v>164</v>
      </c>
      <c r="H61" s="6" t="s">
        <v>175</v>
      </c>
      <c r="I61" s="7">
        <v>5412413910.6275396</v>
      </c>
    </row>
    <row r="62" spans="1:9" ht="29.25">
      <c r="A62" s="64" t="s">
        <v>105</v>
      </c>
      <c r="B62" s="5" t="s">
        <v>165</v>
      </c>
      <c r="C62" s="6" t="s">
        <v>107</v>
      </c>
      <c r="D62" s="7">
        <v>-473840759.17756599</v>
      </c>
      <c r="E62" s="1"/>
      <c r="F62" s="64" t="s">
        <v>105</v>
      </c>
      <c r="G62" s="5" t="s">
        <v>165</v>
      </c>
      <c r="H62" s="6" t="s">
        <v>175</v>
      </c>
      <c r="I62" s="7">
        <v>-474426882.51489002</v>
      </c>
    </row>
    <row r="63" spans="1:9" ht="29.25">
      <c r="A63" s="64" t="s">
        <v>105</v>
      </c>
      <c r="B63" s="5" t="s">
        <v>166</v>
      </c>
      <c r="C63" s="6" t="s">
        <v>107</v>
      </c>
      <c r="D63" s="7">
        <v>-762212134.48167396</v>
      </c>
      <c r="E63" s="1"/>
      <c r="F63" s="64" t="s">
        <v>105</v>
      </c>
      <c r="G63" s="5" t="s">
        <v>166</v>
      </c>
      <c r="H63" s="6" t="s">
        <v>175</v>
      </c>
      <c r="I63" s="7">
        <v>-762754067.93256295</v>
      </c>
    </row>
    <row r="64" spans="1:9" ht="29.25">
      <c r="A64" s="64" t="s">
        <v>105</v>
      </c>
      <c r="B64" s="5" t="s">
        <v>167</v>
      </c>
      <c r="C64" s="6" t="s">
        <v>107</v>
      </c>
      <c r="D64" s="7">
        <v>-534550470.60409898</v>
      </c>
      <c r="E64" s="1"/>
      <c r="F64" s="64" t="s">
        <v>105</v>
      </c>
      <c r="G64" s="5" t="s">
        <v>167</v>
      </c>
      <c r="H64" s="6" t="s">
        <v>175</v>
      </c>
      <c r="I64" s="7">
        <v>-535055229.88160801</v>
      </c>
    </row>
    <row r="65" spans="1:9" ht="29.25">
      <c r="A65" s="64" t="s">
        <v>105</v>
      </c>
      <c r="B65" s="5" t="s">
        <v>168</v>
      </c>
      <c r="C65" s="6" t="s">
        <v>107</v>
      </c>
      <c r="D65" s="7">
        <v>90757420.073920101</v>
      </c>
      <c r="E65" s="1"/>
      <c r="F65" s="64" t="s">
        <v>105</v>
      </c>
      <c r="G65" s="5" t="s">
        <v>168</v>
      </c>
      <c r="H65" s="6" t="s">
        <v>175</v>
      </c>
      <c r="I65" s="7">
        <v>89958295.367727205</v>
      </c>
    </row>
    <row r="66" spans="1:9" ht="29.25">
      <c r="A66" s="64" t="s">
        <v>105</v>
      </c>
      <c r="B66" s="5" t="s">
        <v>169</v>
      </c>
      <c r="C66" s="6" t="s">
        <v>107</v>
      </c>
      <c r="D66" s="7">
        <v>-805821296.77715695</v>
      </c>
      <c r="E66" s="1"/>
      <c r="F66" s="64" t="s">
        <v>105</v>
      </c>
      <c r="G66" s="5" t="s">
        <v>169</v>
      </c>
      <c r="H66" s="6" t="s">
        <v>175</v>
      </c>
      <c r="I66" s="7">
        <v>-794054283.38308001</v>
      </c>
    </row>
    <row r="67" spans="1:9" ht="29.25">
      <c r="A67" s="64" t="s">
        <v>105</v>
      </c>
      <c r="B67" s="5" t="s">
        <v>170</v>
      </c>
      <c r="C67" s="6" t="s">
        <v>107</v>
      </c>
      <c r="D67" s="7">
        <v>-715063876.70323706</v>
      </c>
      <c r="E67" s="1"/>
      <c r="F67" s="64" t="s">
        <v>105</v>
      </c>
      <c r="G67" s="5" t="s">
        <v>170</v>
      </c>
      <c r="H67" s="6" t="s">
        <v>175</v>
      </c>
      <c r="I67" s="7">
        <v>-704095988.01535296</v>
      </c>
    </row>
    <row r="68" spans="1:9" ht="57.75">
      <c r="A68" s="64" t="s">
        <v>105</v>
      </c>
      <c r="B68" s="5" t="s">
        <v>171</v>
      </c>
      <c r="C68" s="6" t="s">
        <v>107</v>
      </c>
      <c r="D68" s="7">
        <v>-942178562.65904903</v>
      </c>
      <c r="E68" s="1"/>
      <c r="F68" s="64" t="s">
        <v>105</v>
      </c>
      <c r="G68" s="5" t="s">
        <v>171</v>
      </c>
      <c r="H68" s="6" t="s">
        <v>175</v>
      </c>
      <c r="I68" s="7">
        <v>-948298713.34843194</v>
      </c>
    </row>
    <row r="69" spans="1:9" ht="43.5">
      <c r="A69" s="64" t="s">
        <v>105</v>
      </c>
      <c r="B69" s="5" t="s">
        <v>172</v>
      </c>
      <c r="C69" s="6" t="s">
        <v>107</v>
      </c>
      <c r="D69" s="7">
        <v>-1532407884.4941299</v>
      </c>
      <c r="E69" s="1"/>
      <c r="F69" s="64" t="s">
        <v>105</v>
      </c>
      <c r="G69" s="5" t="s">
        <v>172</v>
      </c>
      <c r="H69" s="6" t="s">
        <v>175</v>
      </c>
      <c r="I69" s="7">
        <v>-1532407884.4941299</v>
      </c>
    </row>
    <row r="70" spans="1:9" ht="29.25">
      <c r="A70" s="64" t="s">
        <v>105</v>
      </c>
      <c r="B70" s="5" t="s">
        <v>173</v>
      </c>
      <c r="C70" s="6" t="s">
        <v>107</v>
      </c>
      <c r="D70" s="7">
        <v>444349039.99404502</v>
      </c>
      <c r="E70" s="1"/>
      <c r="F70" s="64" t="s">
        <v>105</v>
      </c>
      <c r="G70" s="5" t="s">
        <v>173</v>
      </c>
      <c r="H70" s="6" t="s">
        <v>175</v>
      </c>
      <c r="I70" s="7">
        <v>455375144.44056499</v>
      </c>
    </row>
    <row r="71" spans="1:9" ht="29.25">
      <c r="A71" s="64" t="s">
        <v>105</v>
      </c>
      <c r="B71" s="5" t="s">
        <v>174</v>
      </c>
      <c r="C71" s="6" t="s">
        <v>107</v>
      </c>
      <c r="D71" s="7">
        <v>1218964223.60902</v>
      </c>
      <c r="E71" s="1"/>
      <c r="F71" s="64" t="s">
        <v>105</v>
      </c>
      <c r="G71" s="5" t="s">
        <v>174</v>
      </c>
      <c r="H71" s="6" t="s">
        <v>175</v>
      </c>
      <c r="I71" s="7">
        <v>1229990328.0555401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B0AD-9CFA-40E3-8444-7B2F4332D1DD}">
  <dimension ref="A1:H36"/>
  <sheetViews>
    <sheetView zoomScale="98" zoomScaleNormal="98" workbookViewId="0">
      <selection activeCell="I33" sqref="I33"/>
    </sheetView>
  </sheetViews>
  <sheetFormatPr defaultRowHeight="14.25"/>
  <sheetData>
    <row r="1" spans="1:8" ht="15" customHeight="1">
      <c r="A1" s="152" t="s">
        <v>259</v>
      </c>
      <c r="B1" s="153"/>
      <c r="C1" s="153"/>
      <c r="D1" s="153"/>
      <c r="E1" s="153"/>
      <c r="F1" s="153"/>
      <c r="G1" s="153"/>
      <c r="H1" s="154"/>
    </row>
    <row r="2" spans="1:8" ht="14.25" customHeight="1">
      <c r="A2" s="155"/>
      <c r="B2" s="156"/>
      <c r="C2" s="156"/>
      <c r="D2" s="156"/>
      <c r="E2" s="156"/>
      <c r="F2" s="156"/>
      <c r="G2" s="156"/>
      <c r="H2" s="157"/>
    </row>
    <row r="3" spans="1:8" ht="14.25" customHeight="1">
      <c r="A3" s="155"/>
      <c r="B3" s="156"/>
      <c r="C3" s="156"/>
      <c r="D3" s="156"/>
      <c r="E3" s="156"/>
      <c r="F3" s="156"/>
      <c r="G3" s="156"/>
      <c r="H3" s="157"/>
    </row>
    <row r="4" spans="1:8" ht="14.25" customHeight="1">
      <c r="A4" s="155"/>
      <c r="B4" s="156"/>
      <c r="C4" s="156"/>
      <c r="D4" s="156"/>
      <c r="E4" s="156"/>
      <c r="F4" s="156"/>
      <c r="G4" s="156"/>
      <c r="H4" s="157"/>
    </row>
    <row r="5" spans="1:8" ht="14.25" customHeight="1">
      <c r="A5" s="155"/>
      <c r="B5" s="156"/>
      <c r="C5" s="156"/>
      <c r="D5" s="156"/>
      <c r="E5" s="156"/>
      <c r="F5" s="156"/>
      <c r="G5" s="156"/>
      <c r="H5" s="157"/>
    </row>
    <row r="6" spans="1:8" ht="15" customHeight="1">
      <c r="A6" s="155"/>
      <c r="B6" s="156"/>
      <c r="C6" s="156"/>
      <c r="D6" s="156"/>
      <c r="E6" s="156"/>
      <c r="F6" s="156"/>
      <c r="G6" s="156"/>
      <c r="H6" s="157"/>
    </row>
    <row r="7" spans="1:8" ht="15" thickBot="1">
      <c r="A7" s="158"/>
      <c r="B7" s="159"/>
      <c r="C7" s="159"/>
      <c r="D7" s="159"/>
      <c r="E7" s="159"/>
      <c r="F7" s="159"/>
      <c r="G7" s="159"/>
      <c r="H7" s="160"/>
    </row>
    <row r="8" spans="1:8" ht="15" customHeight="1">
      <c r="A8" s="161" t="s">
        <v>260</v>
      </c>
      <c r="B8" s="162"/>
      <c r="C8" s="162"/>
      <c r="D8" s="162"/>
      <c r="E8" s="162"/>
      <c r="F8" s="162"/>
      <c r="G8" s="162"/>
      <c r="H8" s="163"/>
    </row>
    <row r="9" spans="1:8" ht="14.25" customHeight="1">
      <c r="A9" s="164"/>
      <c r="B9" s="165"/>
      <c r="C9" s="165"/>
      <c r="D9" s="165"/>
      <c r="E9" s="165"/>
      <c r="F9" s="165"/>
      <c r="G9" s="165"/>
      <c r="H9" s="166"/>
    </row>
    <row r="10" spans="1:8" ht="14.25" customHeight="1">
      <c r="A10" s="164"/>
      <c r="B10" s="165"/>
      <c r="C10" s="165"/>
      <c r="D10" s="165"/>
      <c r="E10" s="165"/>
      <c r="F10" s="165"/>
      <c r="G10" s="165"/>
      <c r="H10" s="166"/>
    </row>
    <row r="11" spans="1:8" ht="14.25" customHeight="1">
      <c r="A11" s="164"/>
      <c r="B11" s="165"/>
      <c r="C11" s="165"/>
      <c r="D11" s="165"/>
      <c r="E11" s="165"/>
      <c r="F11" s="165"/>
      <c r="G11" s="165"/>
      <c r="H11" s="166"/>
    </row>
    <row r="12" spans="1:8" ht="14.25" customHeight="1">
      <c r="A12" s="164"/>
      <c r="B12" s="165"/>
      <c r="C12" s="165"/>
      <c r="D12" s="165"/>
      <c r="E12" s="165"/>
      <c r="F12" s="165"/>
      <c r="G12" s="165"/>
      <c r="H12" s="166"/>
    </row>
    <row r="13" spans="1:8" ht="14.25" customHeight="1">
      <c r="A13" s="164"/>
      <c r="B13" s="165"/>
      <c r="C13" s="165"/>
      <c r="D13" s="165"/>
      <c r="E13" s="165"/>
      <c r="F13" s="165"/>
      <c r="G13" s="165"/>
      <c r="H13" s="166"/>
    </row>
    <row r="14" spans="1:8" ht="14.25" customHeight="1">
      <c r="A14" s="164"/>
      <c r="B14" s="165"/>
      <c r="C14" s="165"/>
      <c r="D14" s="165"/>
      <c r="E14" s="165"/>
      <c r="F14" s="165"/>
      <c r="G14" s="165"/>
      <c r="H14" s="166"/>
    </row>
    <row r="15" spans="1:8" ht="14.25" customHeight="1">
      <c r="A15" s="164"/>
      <c r="B15" s="165"/>
      <c r="C15" s="165"/>
      <c r="D15" s="165"/>
      <c r="E15" s="165"/>
      <c r="F15" s="165"/>
      <c r="G15" s="165"/>
      <c r="H15" s="166"/>
    </row>
    <row r="16" spans="1:8" ht="14.25" customHeight="1">
      <c r="A16" s="164"/>
      <c r="B16" s="165"/>
      <c r="C16" s="165"/>
      <c r="D16" s="165"/>
      <c r="E16" s="165"/>
      <c r="F16" s="165"/>
      <c r="G16" s="165"/>
      <c r="H16" s="166"/>
    </row>
    <row r="17" spans="1:8" ht="14.25" customHeight="1">
      <c r="A17" s="164"/>
      <c r="B17" s="165"/>
      <c r="C17" s="165"/>
      <c r="D17" s="165"/>
      <c r="E17" s="165"/>
      <c r="F17" s="165"/>
      <c r="G17" s="165"/>
      <c r="H17" s="166"/>
    </row>
    <row r="18" spans="1:8" ht="14.25" customHeight="1">
      <c r="A18" s="164"/>
      <c r="B18" s="165"/>
      <c r="C18" s="165"/>
      <c r="D18" s="165"/>
      <c r="E18" s="165"/>
      <c r="F18" s="165"/>
      <c r="G18" s="165"/>
      <c r="H18" s="166"/>
    </row>
    <row r="19" spans="1:8" ht="14.25" customHeight="1">
      <c r="A19" s="164"/>
      <c r="B19" s="165"/>
      <c r="C19" s="165"/>
      <c r="D19" s="165"/>
      <c r="E19" s="165"/>
      <c r="F19" s="165"/>
      <c r="G19" s="165"/>
      <c r="H19" s="166"/>
    </row>
    <row r="20" spans="1:8" ht="14.25" customHeight="1">
      <c r="A20" s="164"/>
      <c r="B20" s="165"/>
      <c r="C20" s="165"/>
      <c r="D20" s="165"/>
      <c r="E20" s="165"/>
      <c r="F20" s="165"/>
      <c r="G20" s="165"/>
      <c r="H20" s="166"/>
    </row>
    <row r="21" spans="1:8" ht="14.25" customHeight="1">
      <c r="A21" s="164"/>
      <c r="B21" s="165"/>
      <c r="C21" s="165"/>
      <c r="D21" s="165"/>
      <c r="E21" s="165"/>
      <c r="F21" s="165"/>
      <c r="G21" s="165"/>
      <c r="H21" s="166"/>
    </row>
    <row r="22" spans="1:8" ht="14.25" customHeight="1">
      <c r="A22" s="164"/>
      <c r="B22" s="165"/>
      <c r="C22" s="165"/>
      <c r="D22" s="165"/>
      <c r="E22" s="165"/>
      <c r="F22" s="165"/>
      <c r="G22" s="165"/>
      <c r="H22" s="166"/>
    </row>
    <row r="23" spans="1:8" ht="14.25" customHeight="1">
      <c r="A23" s="164"/>
      <c r="B23" s="165"/>
      <c r="C23" s="165"/>
      <c r="D23" s="165"/>
      <c r="E23" s="165"/>
      <c r="F23" s="165"/>
      <c r="G23" s="165"/>
      <c r="H23" s="166"/>
    </row>
    <row r="24" spans="1:8" ht="14.25" customHeight="1">
      <c r="A24" s="164"/>
      <c r="B24" s="165"/>
      <c r="C24" s="165"/>
      <c r="D24" s="165"/>
      <c r="E24" s="165"/>
      <c r="F24" s="165"/>
      <c r="G24" s="165"/>
      <c r="H24" s="166"/>
    </row>
    <row r="25" spans="1:8" ht="14.25" customHeight="1">
      <c r="A25" s="164"/>
      <c r="B25" s="165"/>
      <c r="C25" s="165"/>
      <c r="D25" s="165"/>
      <c r="E25" s="165"/>
      <c r="F25" s="165"/>
      <c r="G25" s="165"/>
      <c r="H25" s="166"/>
    </row>
    <row r="26" spans="1:8" ht="14.25" customHeight="1">
      <c r="A26" s="164"/>
      <c r="B26" s="165"/>
      <c r="C26" s="165"/>
      <c r="D26" s="165"/>
      <c r="E26" s="165"/>
      <c r="F26" s="165"/>
      <c r="G26" s="165"/>
      <c r="H26" s="166"/>
    </row>
    <row r="27" spans="1:8" ht="14.25" customHeight="1">
      <c r="A27" s="164"/>
      <c r="B27" s="165"/>
      <c r="C27" s="165"/>
      <c r="D27" s="165"/>
      <c r="E27" s="165"/>
      <c r="F27" s="165"/>
      <c r="G27" s="165"/>
      <c r="H27" s="166"/>
    </row>
    <row r="28" spans="1:8" ht="14.25" customHeight="1">
      <c r="A28" s="164"/>
      <c r="B28" s="165"/>
      <c r="C28" s="165"/>
      <c r="D28" s="165"/>
      <c r="E28" s="165"/>
      <c r="F28" s="165"/>
      <c r="G28" s="165"/>
      <c r="H28" s="166"/>
    </row>
    <row r="29" spans="1:8" ht="14.25" customHeight="1">
      <c r="A29" s="164"/>
      <c r="B29" s="165"/>
      <c r="C29" s="165"/>
      <c r="D29" s="165"/>
      <c r="E29" s="165"/>
      <c r="F29" s="165"/>
      <c r="G29" s="165"/>
      <c r="H29" s="166"/>
    </row>
    <row r="30" spans="1:8" ht="14.25" customHeight="1">
      <c r="A30" s="164"/>
      <c r="B30" s="165"/>
      <c r="C30" s="165"/>
      <c r="D30" s="165"/>
      <c r="E30" s="165"/>
      <c r="F30" s="165"/>
      <c r="G30" s="165"/>
      <c r="H30" s="166"/>
    </row>
    <row r="31" spans="1:8" ht="14.25" customHeight="1">
      <c r="A31" s="164"/>
      <c r="B31" s="165"/>
      <c r="C31" s="165"/>
      <c r="D31" s="165"/>
      <c r="E31" s="165"/>
      <c r="F31" s="165"/>
      <c r="G31" s="165"/>
      <c r="H31" s="166"/>
    </row>
    <row r="32" spans="1:8" ht="14.25" customHeight="1" thickBot="1">
      <c r="A32" s="167"/>
      <c r="B32" s="168"/>
      <c r="C32" s="168"/>
      <c r="D32" s="168"/>
      <c r="E32" s="168"/>
      <c r="F32" s="168"/>
      <c r="G32" s="168"/>
      <c r="H32" s="169"/>
    </row>
    <row r="33" spans="1:8" ht="14.25" customHeight="1">
      <c r="A33" s="98"/>
      <c r="B33" s="98"/>
      <c r="C33" s="98"/>
      <c r="D33" s="98"/>
      <c r="E33" s="98"/>
      <c r="F33" s="98"/>
      <c r="G33" s="98"/>
      <c r="H33" s="98"/>
    </row>
    <row r="34" spans="1:8" ht="14.25" customHeight="1">
      <c r="A34" s="98"/>
      <c r="B34" s="98"/>
      <c r="C34" s="98"/>
      <c r="D34" s="98"/>
      <c r="E34" s="98"/>
      <c r="F34" s="98"/>
      <c r="G34" s="98"/>
      <c r="H34" s="98"/>
    </row>
    <row r="35" spans="1:8" ht="14.25" customHeight="1">
      <c r="A35" s="98"/>
      <c r="B35" s="98"/>
      <c r="C35" s="98"/>
      <c r="D35" s="98"/>
      <c r="E35" s="98"/>
      <c r="F35" s="98"/>
      <c r="G35" s="98"/>
      <c r="H35" s="98"/>
    </row>
    <row r="36" spans="1:8" ht="14.25" customHeight="1">
      <c r="A36" s="98"/>
      <c r="B36" s="98"/>
      <c r="C36" s="98"/>
      <c r="D36" s="98"/>
      <c r="E36" s="98"/>
      <c r="F36" s="98"/>
      <c r="G36" s="98"/>
      <c r="H36" s="98"/>
    </row>
  </sheetData>
  <mergeCells count="2">
    <mergeCell ref="A1:H7"/>
    <mergeCell ref="A8:H3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D3F0-5AEB-4565-A89C-E654F8309098}">
  <dimension ref="A1:E80"/>
  <sheetViews>
    <sheetView tabSelected="1" zoomScale="53" zoomScaleNormal="53" workbookViewId="0">
      <selection activeCell="G26" sqref="G26"/>
    </sheetView>
  </sheetViews>
  <sheetFormatPr defaultColWidth="5.375" defaultRowHeight="43.5" customHeight="1"/>
  <cols>
    <col min="1" max="1" width="44.625" bestFit="1" customWidth="1"/>
    <col min="2" max="2" width="22" bestFit="1" customWidth="1"/>
    <col min="3" max="3" width="20.875" bestFit="1" customWidth="1"/>
    <col min="4" max="4" width="18.25" customWidth="1"/>
    <col min="5" max="5" width="20.25" bestFit="1" customWidth="1"/>
  </cols>
  <sheetData>
    <row r="1" spans="1:5" ht="43.5" customHeight="1" thickBot="1">
      <c r="A1" s="38" t="s">
        <v>261</v>
      </c>
      <c r="B1" s="135" t="s">
        <v>177</v>
      </c>
      <c r="C1" s="133" t="s">
        <v>178</v>
      </c>
      <c r="D1" s="133" t="s">
        <v>262</v>
      </c>
      <c r="E1" s="134" t="s">
        <v>263</v>
      </c>
    </row>
    <row r="2" spans="1:5" ht="43.5" customHeight="1">
      <c r="A2" s="132" t="s">
        <v>264</v>
      </c>
      <c r="B2" s="110">
        <v>6097801177.0900002</v>
      </c>
      <c r="C2" s="111">
        <v>6086036870.5799999</v>
      </c>
      <c r="D2" s="112">
        <v>-1.9E-3</v>
      </c>
      <c r="E2" s="113" t="s">
        <v>265</v>
      </c>
    </row>
    <row r="3" spans="1:5" ht="43.5" customHeight="1">
      <c r="A3" s="130" t="s">
        <v>266</v>
      </c>
      <c r="B3" s="109">
        <v>4220898153.0100002</v>
      </c>
      <c r="C3" s="107">
        <v>4293938471.9899998</v>
      </c>
      <c r="D3" s="108">
        <v>1.7299999999999999E-2</v>
      </c>
      <c r="E3" s="114" t="s">
        <v>267</v>
      </c>
    </row>
    <row r="4" spans="1:5" ht="43.5" customHeight="1">
      <c r="A4" s="130" t="s">
        <v>268</v>
      </c>
      <c r="B4" s="109">
        <v>2374898323.3800001</v>
      </c>
      <c r="C4" s="107">
        <v>3271937932.6100001</v>
      </c>
      <c r="D4" s="108">
        <v>0.37769999999999998</v>
      </c>
      <c r="E4" s="114" t="s">
        <v>269</v>
      </c>
    </row>
    <row r="5" spans="1:5" ht="43.5" customHeight="1" thickBot="1">
      <c r="A5" s="131" t="s">
        <v>0</v>
      </c>
      <c r="B5" s="115">
        <v>0.38950000000000001</v>
      </c>
      <c r="C5" s="116">
        <v>0.53759999999999997</v>
      </c>
      <c r="D5" s="117" t="s">
        <v>270</v>
      </c>
      <c r="E5" s="118" t="s">
        <v>271</v>
      </c>
    </row>
    <row r="6" spans="1:5" ht="43.5" customHeight="1" thickBot="1"/>
    <row r="7" spans="1:5" ht="43.5" customHeight="1" thickBot="1">
      <c r="A7" s="170" t="s">
        <v>272</v>
      </c>
      <c r="B7" s="171"/>
    </row>
    <row r="8" spans="1:5" ht="43.5" customHeight="1">
      <c r="A8" s="136" t="s">
        <v>273</v>
      </c>
      <c r="B8" s="119">
        <v>0.05</v>
      </c>
    </row>
    <row r="9" spans="1:5" ht="43.5" customHeight="1">
      <c r="A9" s="137" t="s">
        <v>274</v>
      </c>
      <c r="B9" s="120">
        <f>B2*(1-B8)</f>
        <v>5792911118.2355003</v>
      </c>
    </row>
    <row r="10" spans="1:5" ht="43.5" customHeight="1" thickBot="1">
      <c r="A10" s="138" t="s">
        <v>275</v>
      </c>
      <c r="B10" s="121">
        <f>B3-(B2*B8)</f>
        <v>3916008094.1555004</v>
      </c>
    </row>
    <row r="12" spans="1:5" ht="43.5" customHeight="1" thickBot="1"/>
    <row r="13" spans="1:5" ht="43.5" customHeight="1" thickBot="1">
      <c r="A13" s="142" t="s">
        <v>276</v>
      </c>
      <c r="B13" s="143" t="s">
        <v>231</v>
      </c>
      <c r="C13" s="144" t="s">
        <v>232</v>
      </c>
      <c r="D13" s="145" t="s">
        <v>277</v>
      </c>
    </row>
    <row r="14" spans="1:5" ht="43.5" customHeight="1">
      <c r="A14" s="139" t="s">
        <v>278</v>
      </c>
      <c r="B14" s="110">
        <v>1500</v>
      </c>
      <c r="C14" s="111">
        <v>2000</v>
      </c>
      <c r="D14" s="113" t="s">
        <v>279</v>
      </c>
    </row>
    <row r="15" spans="1:5" ht="43.5" customHeight="1">
      <c r="A15" s="140" t="s">
        <v>280</v>
      </c>
      <c r="B15" s="123">
        <v>200000</v>
      </c>
      <c r="C15" s="122">
        <v>500000</v>
      </c>
      <c r="D15" s="114" t="s">
        <v>281</v>
      </c>
    </row>
    <row r="16" spans="1:5" ht="43.5" customHeight="1">
      <c r="A16" s="140" t="s">
        <v>282</v>
      </c>
      <c r="B16" s="109">
        <v>30000000</v>
      </c>
      <c r="C16" s="107">
        <v>40000000</v>
      </c>
      <c r="D16" s="114" t="s">
        <v>279</v>
      </c>
    </row>
    <row r="17" spans="1:5" ht="43.5" customHeight="1" thickBot="1">
      <c r="A17" s="141" t="s">
        <v>283</v>
      </c>
      <c r="B17" s="124" t="s">
        <v>211</v>
      </c>
      <c r="C17" s="117" t="s">
        <v>212</v>
      </c>
      <c r="D17" s="118" t="s">
        <v>284</v>
      </c>
    </row>
    <row r="19" spans="1:5" ht="43.5" customHeight="1" thickBot="1"/>
    <row r="20" spans="1:5" ht="43.5" customHeight="1">
      <c r="A20" s="146" t="s">
        <v>285</v>
      </c>
      <c r="B20" s="125">
        <f>'Planilha de Validação'!C31</f>
        <v>0.3579</v>
      </c>
      <c r="C20" s="126">
        <f>'Planilha de Validação'!D31</f>
        <v>0.3967</v>
      </c>
    </row>
    <row r="21" spans="1:5" ht="43.5" customHeight="1">
      <c r="A21" s="147" t="s">
        <v>194</v>
      </c>
      <c r="B21" s="109">
        <f>'Planilha de Validação'!C18</f>
        <v>2666858930.4899998</v>
      </c>
      <c r="C21" s="127">
        <f>'Planilha de Validação'!D18</f>
        <v>1448537980.9200001</v>
      </c>
    </row>
    <row r="22" spans="1:5" ht="43.5" customHeight="1" thickBot="1">
      <c r="A22" s="148" t="s">
        <v>233</v>
      </c>
      <c r="B22" s="128" t="str">
        <f>'Planilha de Validação'!C22</f>
        <v>1,01x</v>
      </c>
      <c r="C22" s="129" t="str">
        <f>'Planilha de Validação'!D22</f>
        <v>1,01x</v>
      </c>
    </row>
    <row r="24" spans="1:5" ht="43.5" customHeight="1" thickBot="1">
      <c r="A24" s="177" t="s">
        <v>295</v>
      </c>
      <c r="B24" s="177"/>
      <c r="C24" s="177"/>
      <c r="D24" s="177"/>
      <c r="E24" s="177"/>
    </row>
    <row r="25" spans="1:5" ht="43.5" customHeight="1" thickBot="1">
      <c r="A25" s="172" t="s">
        <v>261</v>
      </c>
      <c r="B25" s="172" t="s">
        <v>177</v>
      </c>
      <c r="C25" s="172" t="s">
        <v>178</v>
      </c>
      <c r="D25" s="172" t="s">
        <v>191</v>
      </c>
      <c r="E25" s="172" t="s">
        <v>206</v>
      </c>
    </row>
    <row r="26" spans="1:5" ht="43.5" customHeight="1" thickBot="1">
      <c r="A26" s="172" t="s">
        <v>286</v>
      </c>
      <c r="B26" s="173">
        <v>4168549834.4499998</v>
      </c>
      <c r="C26" s="173">
        <v>4175232960.1999998</v>
      </c>
      <c r="D26" s="173">
        <v>6683125.75</v>
      </c>
      <c r="E26" s="174">
        <v>1.6000000000000001E-3</v>
      </c>
    </row>
    <row r="27" spans="1:5" ht="43.5" customHeight="1" thickBot="1">
      <c r="A27" s="172" t="s">
        <v>287</v>
      </c>
      <c r="B27" s="173">
        <v>3633999363.8499999</v>
      </c>
      <c r="C27" s="173">
        <v>3640177730.3200002</v>
      </c>
      <c r="D27" s="173">
        <v>6178366.4699999997</v>
      </c>
      <c r="E27" s="174">
        <v>1.6999999999999999E-3</v>
      </c>
    </row>
    <row r="28" spans="1:5" ht="43.5" customHeight="1" thickBot="1">
      <c r="A28" s="172" t="s">
        <v>288</v>
      </c>
      <c r="B28" s="173">
        <v>1159599504.4200001</v>
      </c>
      <c r="C28" s="173">
        <v>1181696028.51</v>
      </c>
      <c r="D28" s="173">
        <v>22096524.09</v>
      </c>
      <c r="E28" s="174">
        <v>1.9099999999999999E-2</v>
      </c>
    </row>
    <row r="29" spans="1:5" ht="43.5" customHeight="1" thickBot="1">
      <c r="A29" s="172" t="s">
        <v>289</v>
      </c>
      <c r="B29" s="173">
        <v>444349039.99000001</v>
      </c>
      <c r="C29" s="173">
        <v>455375144.44</v>
      </c>
      <c r="D29" s="173">
        <v>11026104.449999999</v>
      </c>
      <c r="E29" s="174">
        <v>2.4799999999999999E-2</v>
      </c>
    </row>
    <row r="30" spans="1:5" ht="43.5" customHeight="1" thickBot="1">
      <c r="A30" s="172" t="s">
        <v>290</v>
      </c>
      <c r="B30" s="175" t="s">
        <v>291</v>
      </c>
      <c r="C30" s="175" t="s">
        <v>292</v>
      </c>
      <c r="D30" s="175" t="s">
        <v>293</v>
      </c>
      <c r="E30" s="174">
        <v>1.7399999999999999E-2</v>
      </c>
    </row>
    <row r="31" spans="1:5" ht="43.5" customHeight="1" thickBot="1">
      <c r="A31" s="172" t="s">
        <v>294</v>
      </c>
      <c r="B31" s="174">
        <v>0.12820000000000001</v>
      </c>
      <c r="C31" s="174">
        <v>0.12820000000000001</v>
      </c>
      <c r="D31" s="175" t="s">
        <v>250</v>
      </c>
      <c r="E31" s="174">
        <v>0</v>
      </c>
    </row>
    <row r="33" spans="1:5" ht="43.5" customHeight="1" thickBot="1">
      <c r="A33" s="177" t="s">
        <v>310</v>
      </c>
      <c r="B33" s="177"/>
      <c r="C33" s="177"/>
      <c r="D33" s="177"/>
      <c r="E33" s="177"/>
    </row>
    <row r="34" spans="1:5" ht="43.5" customHeight="1" thickBot="1">
      <c r="A34" s="172" t="s">
        <v>261</v>
      </c>
      <c r="B34" s="172" t="s">
        <v>177</v>
      </c>
      <c r="C34" s="172" t="s">
        <v>178</v>
      </c>
      <c r="D34" s="172" t="s">
        <v>191</v>
      </c>
      <c r="E34" s="172" t="s">
        <v>206</v>
      </c>
    </row>
    <row r="35" spans="1:5" ht="43.5" customHeight="1" thickBot="1">
      <c r="A35" s="172" t="s">
        <v>296</v>
      </c>
      <c r="B35" s="173">
        <v>730975029.92999995</v>
      </c>
      <c r="C35" s="173">
        <v>743764010.22000003</v>
      </c>
      <c r="D35" s="173">
        <v>12788980.289999999</v>
      </c>
      <c r="E35" s="174">
        <v>1.7500000000000002E-2</v>
      </c>
    </row>
    <row r="36" spans="1:5" ht="43.5" customHeight="1" thickBot="1">
      <c r="A36" s="172" t="s">
        <v>297</v>
      </c>
      <c r="B36" s="173">
        <v>494347193.67000002</v>
      </c>
      <c r="C36" s="173">
        <v>494305344.19</v>
      </c>
      <c r="D36" s="173">
        <v>-41849.480000000003</v>
      </c>
      <c r="E36" s="174">
        <v>-1E-4</v>
      </c>
    </row>
    <row r="37" spans="1:5" ht="43.5" customHeight="1" thickBot="1">
      <c r="A37" s="172" t="s">
        <v>298</v>
      </c>
      <c r="B37" s="173">
        <v>236627836.25999999</v>
      </c>
      <c r="C37" s="173">
        <v>249458666.03</v>
      </c>
      <c r="D37" s="173">
        <v>12830829.77</v>
      </c>
      <c r="E37" s="174">
        <v>5.4199999999999998E-2</v>
      </c>
    </row>
    <row r="38" spans="1:5" ht="43.5" customHeight="1" thickBot="1">
      <c r="A38" s="172" t="s">
        <v>299</v>
      </c>
      <c r="B38" s="175" t="s">
        <v>300</v>
      </c>
      <c r="C38" s="175" t="s">
        <v>300</v>
      </c>
      <c r="D38" s="178" t="s">
        <v>301</v>
      </c>
      <c r="E38" s="174">
        <v>0</v>
      </c>
    </row>
    <row r="39" spans="1:5" ht="43.5" customHeight="1" thickBot="1">
      <c r="A39" s="172" t="s">
        <v>302</v>
      </c>
      <c r="B39" s="175" t="s">
        <v>303</v>
      </c>
      <c r="C39" s="175" t="s">
        <v>303</v>
      </c>
      <c r="D39" s="178" t="s">
        <v>301</v>
      </c>
      <c r="E39" s="174">
        <v>0</v>
      </c>
    </row>
    <row r="40" spans="1:5" ht="43.5" customHeight="1" thickBot="1">
      <c r="A40" s="172" t="s">
        <v>304</v>
      </c>
      <c r="B40" s="175" t="s">
        <v>305</v>
      </c>
      <c r="C40" s="175" t="s">
        <v>305</v>
      </c>
      <c r="D40" s="178" t="s">
        <v>301</v>
      </c>
      <c r="E40" s="174">
        <v>0</v>
      </c>
    </row>
    <row r="41" spans="1:5" ht="43.5" customHeight="1" thickBot="1">
      <c r="A41" s="172" t="s">
        <v>306</v>
      </c>
      <c r="B41" s="175" t="s">
        <v>307</v>
      </c>
      <c r="C41" s="175" t="s">
        <v>307</v>
      </c>
      <c r="D41" s="178" t="s">
        <v>301</v>
      </c>
      <c r="E41" s="174">
        <v>0</v>
      </c>
    </row>
    <row r="42" spans="1:5" ht="43.5" customHeight="1" thickBot="1">
      <c r="A42" s="172" t="s">
        <v>308</v>
      </c>
      <c r="B42" s="175" t="s">
        <v>309</v>
      </c>
      <c r="C42" s="175" t="s">
        <v>309</v>
      </c>
      <c r="D42" s="178" t="s">
        <v>301</v>
      </c>
      <c r="E42" s="174">
        <v>0</v>
      </c>
    </row>
    <row r="43" spans="1:5" ht="43.5" customHeight="1">
      <c r="A43" s="48"/>
      <c r="B43" s="48"/>
      <c r="C43" s="48"/>
      <c r="D43" s="48"/>
    </row>
    <row r="44" spans="1:5" ht="43.5" customHeight="1" thickBot="1">
      <c r="A44" s="177" t="s">
        <v>327</v>
      </c>
      <c r="B44" s="177"/>
      <c r="C44" s="177"/>
      <c r="D44" s="177"/>
      <c r="E44" s="177"/>
    </row>
    <row r="45" spans="1:5" ht="43.5" customHeight="1" thickBot="1">
      <c r="A45" s="172" t="s">
        <v>311</v>
      </c>
      <c r="B45" s="172" t="s">
        <v>177</v>
      </c>
      <c r="C45" s="172" t="s">
        <v>178</v>
      </c>
      <c r="D45" s="172" t="s">
        <v>191</v>
      </c>
      <c r="E45" s="172" t="s">
        <v>262</v>
      </c>
    </row>
    <row r="46" spans="1:5" ht="43.5" customHeight="1" thickBot="1">
      <c r="A46" s="172" t="s">
        <v>312</v>
      </c>
      <c r="B46" s="179">
        <v>774615183.61000001</v>
      </c>
      <c r="C46" s="179">
        <v>774615183.61000001</v>
      </c>
      <c r="D46" s="179">
        <v>0</v>
      </c>
      <c r="E46" s="180">
        <v>0</v>
      </c>
    </row>
    <row r="47" spans="1:5" ht="43.5" customHeight="1" thickBot="1">
      <c r="A47" s="172" t="s">
        <v>313</v>
      </c>
      <c r="B47" s="179">
        <v>4168549834.4499998</v>
      </c>
      <c r="C47" s="179">
        <v>4175232960.1999998</v>
      </c>
      <c r="D47" s="179">
        <v>6683125.75</v>
      </c>
      <c r="E47" s="180">
        <v>1.6000000000000001E-3</v>
      </c>
    </row>
    <row r="48" spans="1:5" ht="43.5" customHeight="1" thickBot="1">
      <c r="A48" s="175" t="s">
        <v>314</v>
      </c>
      <c r="B48" s="173">
        <v>5404602728.1099997</v>
      </c>
      <c r="C48" s="173">
        <v>5412413910.6300001</v>
      </c>
      <c r="D48" s="173">
        <v>7811182.5199999996</v>
      </c>
      <c r="E48" s="174">
        <v>1.4E-3</v>
      </c>
    </row>
    <row r="49" spans="1:5" ht="43.5" customHeight="1" thickBot="1">
      <c r="A49" s="175" t="s">
        <v>315</v>
      </c>
      <c r="B49" s="173">
        <v>-762212134.48000002</v>
      </c>
      <c r="C49" s="173">
        <v>-762754067.92999995</v>
      </c>
      <c r="D49" s="173">
        <v>-541933.44999999995</v>
      </c>
      <c r="E49" s="174">
        <v>6.9999999999999999E-4</v>
      </c>
    </row>
    <row r="50" spans="1:5" ht="43.5" customHeight="1" thickBot="1">
      <c r="A50" s="175" t="s">
        <v>316</v>
      </c>
      <c r="B50" s="173">
        <v>-473840759.18000001</v>
      </c>
      <c r="C50" s="173">
        <v>-474426882.50999999</v>
      </c>
      <c r="D50" s="173">
        <v>-586123.32999999996</v>
      </c>
      <c r="E50" s="174">
        <v>1.1999999999999999E-3</v>
      </c>
    </row>
    <row r="51" spans="1:5" ht="43.5" customHeight="1" thickBot="1">
      <c r="A51" s="172" t="s">
        <v>317</v>
      </c>
      <c r="B51" s="179">
        <v>-534550470.60000002</v>
      </c>
      <c r="C51" s="179">
        <v>-535055229.88</v>
      </c>
      <c r="D51" s="179">
        <v>-504759.28</v>
      </c>
      <c r="E51" s="180">
        <v>8.9999999999999998E-4</v>
      </c>
    </row>
    <row r="52" spans="1:5" ht="43.5" customHeight="1" thickBot="1">
      <c r="A52" s="175" t="s">
        <v>318</v>
      </c>
      <c r="B52" s="173">
        <v>-534550470.60000002</v>
      </c>
      <c r="C52" s="173">
        <v>-535055229.88</v>
      </c>
      <c r="D52" s="173">
        <v>-504759.28</v>
      </c>
      <c r="E52" s="174">
        <v>8.9999999999999998E-4</v>
      </c>
    </row>
    <row r="53" spans="1:5" ht="43.5" customHeight="1" thickBot="1">
      <c r="A53" s="172" t="s">
        <v>319</v>
      </c>
      <c r="B53" s="179">
        <v>-3189650323.8600001</v>
      </c>
      <c r="C53" s="179">
        <v>-3184802585.8800001</v>
      </c>
      <c r="D53" s="179">
        <v>4847737.9800000004</v>
      </c>
      <c r="E53" s="180">
        <v>-1.5E-3</v>
      </c>
    </row>
    <row r="54" spans="1:5" ht="43.5" customHeight="1" thickBot="1">
      <c r="A54" s="175" t="s">
        <v>320</v>
      </c>
      <c r="B54" s="173">
        <v>90757420.069999993</v>
      </c>
      <c r="C54" s="173">
        <v>89958295.370000005</v>
      </c>
      <c r="D54" s="173">
        <v>-799124.7</v>
      </c>
      <c r="E54" s="174">
        <v>-8.8000000000000005E-3</v>
      </c>
    </row>
    <row r="55" spans="1:5" ht="43.5" customHeight="1" thickBot="1">
      <c r="A55" s="175" t="s">
        <v>321</v>
      </c>
      <c r="B55" s="173">
        <v>-805821296.77999997</v>
      </c>
      <c r="C55" s="173">
        <v>-794054283.38</v>
      </c>
      <c r="D55" s="173">
        <v>11767013.4</v>
      </c>
      <c r="E55" s="174">
        <v>-1.46E-2</v>
      </c>
    </row>
    <row r="56" spans="1:5" ht="43.5" customHeight="1" thickBot="1">
      <c r="A56" s="175" t="s">
        <v>322</v>
      </c>
      <c r="B56" s="173">
        <v>-942178562.65999997</v>
      </c>
      <c r="C56" s="173">
        <v>-948298713.35000002</v>
      </c>
      <c r="D56" s="173">
        <v>-6120150.6900000004</v>
      </c>
      <c r="E56" s="174">
        <v>6.4999999999999997E-3</v>
      </c>
    </row>
    <row r="57" spans="1:5" ht="43.5" customHeight="1" thickBot="1">
      <c r="A57" s="175" t="s">
        <v>323</v>
      </c>
      <c r="B57" s="173">
        <v>-1532407884.49</v>
      </c>
      <c r="C57" s="173">
        <v>-1532407884.49</v>
      </c>
      <c r="D57" s="173">
        <v>0</v>
      </c>
      <c r="E57" s="174">
        <v>0</v>
      </c>
    </row>
    <row r="58" spans="1:5" ht="43.5" customHeight="1" thickBot="1">
      <c r="A58" s="172" t="s">
        <v>324</v>
      </c>
      <c r="B58" s="179">
        <v>444349039.99000001</v>
      </c>
      <c r="C58" s="179">
        <v>455375144.44</v>
      </c>
      <c r="D58" s="179">
        <v>11026104.449999999</v>
      </c>
      <c r="E58" s="180">
        <v>2.4799999999999999E-2</v>
      </c>
    </row>
    <row r="59" spans="1:5" ht="43.5" customHeight="1" thickBot="1">
      <c r="A59" s="172" t="s">
        <v>325</v>
      </c>
      <c r="B59" s="179">
        <v>1218964223.6099999</v>
      </c>
      <c r="C59" s="179">
        <v>1229990328.0599999</v>
      </c>
      <c r="D59" s="179">
        <v>11026104.449999999</v>
      </c>
      <c r="E59" s="180">
        <v>8.9999999999999993E-3</v>
      </c>
    </row>
    <row r="61" spans="1:5" ht="43.5" customHeight="1" thickBot="1">
      <c r="A61" s="176" t="s">
        <v>326</v>
      </c>
      <c r="B61" s="176"/>
      <c r="C61" s="176"/>
      <c r="D61" s="176"/>
      <c r="E61" s="176"/>
    </row>
    <row r="62" spans="1:5" ht="43.5" customHeight="1" thickBot="1">
      <c r="A62" s="172" t="s">
        <v>328</v>
      </c>
      <c r="B62" s="172" t="s">
        <v>177</v>
      </c>
      <c r="C62" s="172" t="s">
        <v>178</v>
      </c>
      <c r="D62" s="172" t="s">
        <v>191</v>
      </c>
      <c r="E62" s="172" t="s">
        <v>206</v>
      </c>
    </row>
    <row r="63" spans="1:5" ht="43.5" customHeight="1" thickBot="1">
      <c r="A63" s="172" t="s">
        <v>329</v>
      </c>
      <c r="B63" s="179">
        <v>6769585677.79</v>
      </c>
      <c r="C63" s="179">
        <v>6777396860.3199997</v>
      </c>
      <c r="D63" s="179">
        <v>7811182.5300000003</v>
      </c>
      <c r="E63" s="180">
        <v>1.1999999999999999E-3</v>
      </c>
    </row>
    <row r="64" spans="1:5" ht="43.5" customHeight="1" thickBot="1">
      <c r="A64" s="175" t="s">
        <v>330</v>
      </c>
      <c r="B64" s="173">
        <v>6730501277.2399998</v>
      </c>
      <c r="C64" s="173">
        <v>6738312459.7600002</v>
      </c>
      <c r="D64" s="173">
        <v>7811182.5199999996</v>
      </c>
      <c r="E64" s="174">
        <v>1.1999999999999999E-3</v>
      </c>
    </row>
    <row r="65" spans="1:5" ht="43.5" customHeight="1" thickBot="1">
      <c r="A65" s="175" t="s">
        <v>331</v>
      </c>
      <c r="B65" s="173">
        <v>39084400.539999999</v>
      </c>
      <c r="C65" s="173">
        <v>39084400.539999999</v>
      </c>
      <c r="D65" s="173">
        <v>0</v>
      </c>
      <c r="E65" s="174">
        <v>0</v>
      </c>
    </row>
    <row r="66" spans="1:5" ht="43.5" customHeight="1" thickBot="1">
      <c r="A66" s="172" t="s">
        <v>332</v>
      </c>
      <c r="B66" s="179">
        <v>-1361939957.8800001</v>
      </c>
      <c r="C66" s="179">
        <v>-1362665698.5</v>
      </c>
      <c r="D66" s="179">
        <v>-725740.62</v>
      </c>
      <c r="E66" s="180">
        <v>5.0000000000000001E-4</v>
      </c>
    </row>
    <row r="67" spans="1:5" ht="43.5" customHeight="1" thickBot="1">
      <c r="A67" s="175" t="s">
        <v>333</v>
      </c>
      <c r="B67" s="173">
        <v>-1361939957.8800001</v>
      </c>
      <c r="C67" s="173">
        <v>-1362665698.5</v>
      </c>
      <c r="D67" s="173">
        <v>-725740.62</v>
      </c>
      <c r="E67" s="174">
        <v>5.0000000000000001E-4</v>
      </c>
    </row>
    <row r="68" spans="1:5" ht="43.5" customHeight="1" thickBot="1">
      <c r="A68" s="172" t="s">
        <v>334</v>
      </c>
      <c r="B68" s="179">
        <v>5407645719.9099998</v>
      </c>
      <c r="C68" s="179">
        <v>5414731161.8199997</v>
      </c>
      <c r="D68" s="179">
        <v>7085441.9100000001</v>
      </c>
      <c r="E68" s="180">
        <v>1.2999999999999999E-3</v>
      </c>
    </row>
    <row r="69" spans="1:5" ht="43.5" customHeight="1" thickBot="1">
      <c r="A69" s="172" t="s">
        <v>335</v>
      </c>
      <c r="B69" s="179">
        <v>-603613006.08000004</v>
      </c>
      <c r="C69" s="179">
        <v>-603651116.44000006</v>
      </c>
      <c r="D69" s="179">
        <v>-38110.36</v>
      </c>
      <c r="E69" s="180">
        <v>1E-4</v>
      </c>
    </row>
    <row r="70" spans="1:5" ht="43.5" customHeight="1" thickBot="1">
      <c r="A70" s="172" t="s">
        <v>336</v>
      </c>
      <c r="B70" s="179">
        <v>4804032713.8299999</v>
      </c>
      <c r="C70" s="179">
        <v>4811080045.3800001</v>
      </c>
      <c r="D70" s="179">
        <v>7047331.5499999998</v>
      </c>
      <c r="E70" s="180">
        <v>1.5E-3</v>
      </c>
    </row>
    <row r="71" spans="1:5" ht="43.5" customHeight="1" thickBot="1">
      <c r="A71" s="172" t="s">
        <v>337</v>
      </c>
      <c r="B71" s="179">
        <v>90757420.069999993</v>
      </c>
      <c r="C71" s="179">
        <v>89958295.370000005</v>
      </c>
      <c r="D71" s="179">
        <v>-799124.7</v>
      </c>
      <c r="E71" s="180">
        <v>-8.8000000000000005E-3</v>
      </c>
    </row>
    <row r="72" spans="1:5" ht="43.5" customHeight="1" thickBot="1">
      <c r="A72" s="175" t="s">
        <v>338</v>
      </c>
      <c r="B72" s="173">
        <v>90757420.069999993</v>
      </c>
      <c r="C72" s="173">
        <v>89958295.370000005</v>
      </c>
      <c r="D72" s="173">
        <v>-799124.7</v>
      </c>
      <c r="E72" s="174">
        <v>-8.8000000000000005E-3</v>
      </c>
    </row>
    <row r="73" spans="1:5" ht="43.5" customHeight="1" thickBot="1">
      <c r="A73" s="172" t="s">
        <v>339</v>
      </c>
      <c r="B73" s="179">
        <v>4894790133.8999996</v>
      </c>
      <c r="C73" s="179">
        <v>4901038340.75</v>
      </c>
      <c r="D73" s="179">
        <v>6248206.8499999996</v>
      </c>
      <c r="E73" s="180">
        <v>1.2999999999999999E-3</v>
      </c>
    </row>
    <row r="74" spans="1:5" ht="43.5" customHeight="1" thickBot="1">
      <c r="A74" s="172" t="s">
        <v>340</v>
      </c>
      <c r="B74" s="175"/>
      <c r="C74" s="175"/>
      <c r="D74" s="175"/>
      <c r="E74" s="175"/>
    </row>
    <row r="75" spans="1:5" ht="43.5" customHeight="1" thickBot="1">
      <c r="A75" s="172" t="s">
        <v>341</v>
      </c>
      <c r="B75" s="173">
        <v>1760456749.0599999</v>
      </c>
      <c r="C75" s="173">
        <v>1767704076.6800001</v>
      </c>
      <c r="D75" s="173">
        <v>7247327.6200000001</v>
      </c>
      <c r="E75" s="174">
        <v>4.1000000000000003E-3</v>
      </c>
    </row>
    <row r="76" spans="1:5" ht="43.5" customHeight="1" thickBot="1">
      <c r="A76" s="181" t="s">
        <v>342</v>
      </c>
      <c r="B76" s="182">
        <v>0.35970000000000002</v>
      </c>
      <c r="C76" s="182">
        <v>0.36070000000000002</v>
      </c>
      <c r="D76" s="181" t="s">
        <v>343</v>
      </c>
      <c r="E76" s="181" t="s">
        <v>208</v>
      </c>
    </row>
    <row r="77" spans="1:5" ht="43.5" customHeight="1" thickBot="1">
      <c r="A77" s="172" t="s">
        <v>344</v>
      </c>
      <c r="B77" s="173">
        <v>675081640.57000005</v>
      </c>
      <c r="C77" s="173">
        <v>661367944.15999997</v>
      </c>
      <c r="D77" s="173">
        <v>-13713696.41</v>
      </c>
      <c r="E77" s="174">
        <v>-2.0299999999999999E-2</v>
      </c>
    </row>
    <row r="78" spans="1:5" ht="43.5" customHeight="1" thickBot="1">
      <c r="A78" s="181" t="s">
        <v>342</v>
      </c>
      <c r="B78" s="182">
        <v>0.13789999999999999</v>
      </c>
      <c r="C78" s="182">
        <v>0.13489999999999999</v>
      </c>
      <c r="D78" s="181" t="s">
        <v>345</v>
      </c>
      <c r="E78" s="181" t="s">
        <v>208</v>
      </c>
    </row>
    <row r="79" spans="1:5" ht="43.5" customHeight="1" thickBot="1">
      <c r="A79" s="172" t="s">
        <v>346</v>
      </c>
      <c r="B79" s="173">
        <v>2459251744.27</v>
      </c>
      <c r="C79" s="173">
        <v>2471966319.8899999</v>
      </c>
      <c r="D79" s="173">
        <v>12714575.619999999</v>
      </c>
      <c r="E79" s="174">
        <v>5.1999999999999998E-3</v>
      </c>
    </row>
    <row r="80" spans="1:5" ht="43.5" customHeight="1" thickBot="1">
      <c r="A80" s="181" t="s">
        <v>342</v>
      </c>
      <c r="B80" s="182">
        <v>0.50239999999999996</v>
      </c>
      <c r="C80" s="182">
        <v>0.50439999999999996</v>
      </c>
      <c r="D80" s="181" t="s">
        <v>347</v>
      </c>
      <c r="E80" s="181" t="s">
        <v>208</v>
      </c>
    </row>
  </sheetData>
  <mergeCells count="5">
    <mergeCell ref="A7:B7"/>
    <mergeCell ref="A24:E24"/>
    <mergeCell ref="A33:E33"/>
    <mergeCell ref="A44:E44"/>
    <mergeCell ref="A61:E6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A248-4DFD-4E43-BBBF-A59996A0CA43}">
  <dimension ref="A1:G42"/>
  <sheetViews>
    <sheetView zoomScale="87" zoomScaleNormal="87" workbookViewId="0">
      <selection activeCell="I29" sqref="I29"/>
    </sheetView>
  </sheetViews>
  <sheetFormatPr defaultRowHeight="14.25"/>
  <sheetData>
    <row r="1" spans="1:7">
      <c r="A1" s="99"/>
      <c r="B1" s="100"/>
      <c r="C1" s="100"/>
      <c r="D1" s="100"/>
      <c r="E1" s="100"/>
      <c r="F1" s="100"/>
      <c r="G1" s="101"/>
    </row>
    <row r="2" spans="1:7">
      <c r="A2" s="102"/>
      <c r="B2" s="48"/>
      <c r="C2" s="48"/>
      <c r="D2" s="48"/>
      <c r="E2" s="48"/>
      <c r="F2" s="48"/>
      <c r="G2" s="103"/>
    </row>
    <row r="3" spans="1:7">
      <c r="A3" s="102"/>
      <c r="B3" s="48"/>
      <c r="C3" s="48"/>
      <c r="D3" s="48"/>
      <c r="E3" s="48"/>
      <c r="F3" s="48"/>
      <c r="G3" s="103"/>
    </row>
    <row r="4" spans="1:7">
      <c r="A4" s="102"/>
      <c r="B4" s="48"/>
      <c r="C4" s="48"/>
      <c r="D4" s="48"/>
      <c r="E4" s="48"/>
      <c r="F4" s="48"/>
      <c r="G4" s="103"/>
    </row>
    <row r="5" spans="1:7">
      <c r="A5" s="102"/>
      <c r="B5" s="48"/>
      <c r="C5" s="48"/>
      <c r="D5" s="48"/>
      <c r="E5" s="48"/>
      <c r="F5" s="48"/>
      <c r="G5" s="103"/>
    </row>
    <row r="6" spans="1:7">
      <c r="A6" s="102"/>
      <c r="B6" s="48"/>
      <c r="C6" s="48"/>
      <c r="D6" s="48"/>
      <c r="E6" s="48"/>
      <c r="F6" s="48"/>
      <c r="G6" s="103"/>
    </row>
    <row r="7" spans="1:7">
      <c r="A7" s="102"/>
      <c r="B7" s="48"/>
      <c r="C7" s="48"/>
      <c r="D7" s="48"/>
      <c r="E7" s="48"/>
      <c r="F7" s="48"/>
      <c r="G7" s="103"/>
    </row>
    <row r="8" spans="1:7">
      <c r="A8" s="102"/>
      <c r="B8" s="48"/>
      <c r="C8" s="48"/>
      <c r="D8" s="48"/>
      <c r="E8" s="48"/>
      <c r="F8" s="48"/>
      <c r="G8" s="103"/>
    </row>
    <row r="9" spans="1:7">
      <c r="A9" s="102"/>
      <c r="B9" s="48"/>
      <c r="C9" s="48"/>
      <c r="D9" s="48"/>
      <c r="E9" s="48"/>
      <c r="F9" s="48"/>
      <c r="G9" s="103"/>
    </row>
    <row r="10" spans="1:7">
      <c r="A10" s="102"/>
      <c r="B10" s="48"/>
      <c r="C10" s="48"/>
      <c r="D10" s="48"/>
      <c r="E10" s="48"/>
      <c r="F10" s="48"/>
      <c r="G10" s="103"/>
    </row>
    <row r="11" spans="1:7">
      <c r="A11" s="102"/>
      <c r="B11" s="48"/>
      <c r="C11" s="48"/>
      <c r="D11" s="48"/>
      <c r="E11" s="48"/>
      <c r="F11" s="48"/>
      <c r="G11" s="103"/>
    </row>
    <row r="12" spans="1:7">
      <c r="A12" s="102"/>
      <c r="B12" s="48"/>
      <c r="C12" s="48"/>
      <c r="D12" s="48"/>
      <c r="E12" s="48"/>
      <c r="F12" s="48"/>
      <c r="G12" s="103"/>
    </row>
    <row r="13" spans="1:7">
      <c r="A13" s="102"/>
      <c r="B13" s="48"/>
      <c r="C13" s="48"/>
      <c r="D13" s="48"/>
      <c r="E13" s="48"/>
      <c r="F13" s="48"/>
      <c r="G13" s="103"/>
    </row>
    <row r="14" spans="1:7">
      <c r="A14" s="102"/>
      <c r="B14" s="48"/>
      <c r="C14" s="48"/>
      <c r="D14" s="48"/>
      <c r="E14" s="48"/>
      <c r="F14" s="48"/>
      <c r="G14" s="103"/>
    </row>
    <row r="15" spans="1:7">
      <c r="A15" s="102"/>
      <c r="B15" s="48"/>
      <c r="C15" s="48"/>
      <c r="D15" s="48"/>
      <c r="E15" s="48"/>
      <c r="F15" s="48"/>
      <c r="G15" s="103"/>
    </row>
    <row r="16" spans="1:7" ht="15" thickBot="1">
      <c r="A16" s="104"/>
      <c r="B16" s="105"/>
      <c r="C16" s="105"/>
      <c r="D16" s="105"/>
      <c r="E16" s="105"/>
      <c r="F16" s="105"/>
      <c r="G16" s="106"/>
    </row>
    <row r="17" spans="1:7" ht="15" thickBot="1"/>
    <row r="18" spans="1:7">
      <c r="A18" s="99"/>
      <c r="B18" s="100"/>
      <c r="C18" s="100"/>
      <c r="D18" s="100"/>
      <c r="E18" s="100"/>
      <c r="F18" s="100"/>
      <c r="G18" s="101"/>
    </row>
    <row r="19" spans="1:7">
      <c r="A19" s="102"/>
      <c r="B19" s="48"/>
      <c r="C19" s="48"/>
      <c r="D19" s="48"/>
      <c r="E19" s="48"/>
      <c r="F19" s="48"/>
      <c r="G19" s="103"/>
    </row>
    <row r="20" spans="1:7">
      <c r="A20" s="102"/>
      <c r="B20" s="48"/>
      <c r="C20" s="48"/>
      <c r="D20" s="48"/>
      <c r="E20" s="48"/>
      <c r="F20" s="48"/>
      <c r="G20" s="103"/>
    </row>
    <row r="21" spans="1:7">
      <c r="A21" s="102"/>
      <c r="B21" s="48"/>
      <c r="C21" s="48"/>
      <c r="D21" s="48"/>
      <c r="E21" s="48"/>
      <c r="F21" s="48"/>
      <c r="G21" s="103"/>
    </row>
    <row r="22" spans="1:7">
      <c r="A22" s="102"/>
      <c r="B22" s="48"/>
      <c r="C22" s="48"/>
      <c r="D22" s="48"/>
      <c r="E22" s="48"/>
      <c r="F22" s="48"/>
      <c r="G22" s="103"/>
    </row>
    <row r="23" spans="1:7">
      <c r="A23" s="102"/>
      <c r="B23" s="48"/>
      <c r="C23" s="48"/>
      <c r="D23" s="48"/>
      <c r="E23" s="48"/>
      <c r="F23" s="48"/>
      <c r="G23" s="103"/>
    </row>
    <row r="24" spans="1:7">
      <c r="A24" s="102"/>
      <c r="B24" s="48"/>
      <c r="C24" s="48"/>
      <c r="D24" s="48"/>
      <c r="E24" s="48"/>
      <c r="F24" s="48"/>
      <c r="G24" s="103"/>
    </row>
    <row r="25" spans="1:7">
      <c r="A25" s="102"/>
      <c r="B25" s="48"/>
      <c r="C25" s="48"/>
      <c r="D25" s="48"/>
      <c r="E25" s="48"/>
      <c r="F25" s="48"/>
      <c r="G25" s="103"/>
    </row>
    <row r="26" spans="1:7">
      <c r="A26" s="102"/>
      <c r="B26" s="48"/>
      <c r="C26" s="48"/>
      <c r="D26" s="48"/>
      <c r="E26" s="48"/>
      <c r="F26" s="48"/>
      <c r="G26" s="103"/>
    </row>
    <row r="27" spans="1:7">
      <c r="A27" s="102"/>
      <c r="B27" s="48"/>
      <c r="C27" s="48"/>
      <c r="D27" s="48"/>
      <c r="E27" s="48"/>
      <c r="F27" s="48"/>
      <c r="G27" s="103"/>
    </row>
    <row r="28" spans="1:7">
      <c r="A28" s="102"/>
      <c r="B28" s="48"/>
      <c r="C28" s="48"/>
      <c r="D28" s="48"/>
      <c r="E28" s="48"/>
      <c r="F28" s="48"/>
      <c r="G28" s="103"/>
    </row>
    <row r="29" spans="1:7">
      <c r="A29" s="102"/>
      <c r="B29" s="48"/>
      <c r="C29" s="48"/>
      <c r="D29" s="48"/>
      <c r="E29" s="48"/>
      <c r="F29" s="48"/>
      <c r="G29" s="103"/>
    </row>
    <row r="30" spans="1:7">
      <c r="A30" s="102"/>
      <c r="B30" s="48"/>
      <c r="C30" s="48"/>
      <c r="D30" s="48"/>
      <c r="E30" s="48"/>
      <c r="F30" s="48"/>
      <c r="G30" s="103"/>
    </row>
    <row r="31" spans="1:7">
      <c r="A31" s="102"/>
      <c r="B31" s="48"/>
      <c r="C31" s="48"/>
      <c r="D31" s="48"/>
      <c r="E31" s="48"/>
      <c r="F31" s="48"/>
      <c r="G31" s="103"/>
    </row>
    <row r="32" spans="1:7">
      <c r="A32" s="102"/>
      <c r="B32" s="48"/>
      <c r="C32" s="48"/>
      <c r="D32" s="48"/>
      <c r="E32" s="48"/>
      <c r="F32" s="48"/>
      <c r="G32" s="103"/>
    </row>
    <row r="33" spans="1:7" ht="15" thickBot="1">
      <c r="A33" s="104"/>
      <c r="B33" s="105"/>
      <c r="C33" s="105"/>
      <c r="D33" s="105"/>
      <c r="E33" s="105"/>
      <c r="F33" s="105"/>
      <c r="G33" s="106"/>
    </row>
    <row r="34" spans="1:7" ht="15" thickBot="1"/>
    <row r="35" spans="1:7">
      <c r="A35" s="99"/>
      <c r="B35" s="100"/>
      <c r="C35" s="100"/>
      <c r="D35" s="100"/>
      <c r="E35" s="100"/>
      <c r="F35" s="100"/>
      <c r="G35" s="101"/>
    </row>
    <row r="36" spans="1:7">
      <c r="A36" s="102"/>
      <c r="B36" s="48"/>
      <c r="C36" s="48"/>
      <c r="D36" s="48"/>
      <c r="E36" s="48"/>
      <c r="F36" s="48"/>
      <c r="G36" s="103"/>
    </row>
    <row r="37" spans="1:7">
      <c r="A37" s="102"/>
      <c r="B37" s="48"/>
      <c r="C37" s="48"/>
      <c r="D37" s="48"/>
      <c r="E37" s="48"/>
      <c r="F37" s="48"/>
      <c r="G37" s="103"/>
    </row>
    <row r="38" spans="1:7">
      <c r="A38" s="102"/>
      <c r="B38" s="48"/>
      <c r="C38" s="48"/>
      <c r="D38" s="48"/>
      <c r="E38" s="48"/>
      <c r="F38" s="48"/>
      <c r="G38" s="103"/>
    </row>
    <row r="39" spans="1:7">
      <c r="A39" s="102"/>
      <c r="B39" s="48"/>
      <c r="C39" s="48"/>
      <c r="D39" s="48"/>
      <c r="E39" s="48"/>
      <c r="F39" s="48"/>
      <c r="G39" s="103"/>
    </row>
    <row r="40" spans="1:7">
      <c r="A40" s="102"/>
      <c r="B40" s="48"/>
      <c r="C40" s="48"/>
      <c r="D40" s="48"/>
      <c r="E40" s="48"/>
      <c r="F40" s="48"/>
      <c r="G40" s="103"/>
    </row>
    <row r="41" spans="1:7">
      <c r="A41" s="102"/>
      <c r="B41" s="48"/>
      <c r="C41" s="48"/>
      <c r="D41" s="48"/>
      <c r="E41" s="48"/>
      <c r="F41" s="48"/>
      <c r="G41" s="103"/>
    </row>
    <row r="42" spans="1:7" ht="15" thickBot="1">
      <c r="A42" s="104"/>
      <c r="B42" s="105"/>
      <c r="C42" s="105"/>
      <c r="D42" s="105"/>
      <c r="E42" s="105"/>
      <c r="F42" s="105"/>
      <c r="G42" s="106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ee36cd-3148-4f5a-9061-5391a713f9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234B990D77749B28E15763916E2FE" ma:contentTypeVersion="10" ma:contentTypeDescription="Create a new document." ma:contentTypeScope="" ma:versionID="17aff948d7520124b14212fac1c12d36">
  <xsd:schema xmlns:xsd="http://www.w3.org/2001/XMLSchema" xmlns:xs="http://www.w3.org/2001/XMLSchema" xmlns:p="http://schemas.microsoft.com/office/2006/metadata/properties" xmlns:ns3="dcee36cd-3148-4f5a-9061-5391a713f90c" targetNamespace="http://schemas.microsoft.com/office/2006/metadata/properties" ma:root="true" ma:fieldsID="029c116151cf885b8ff3f029746ab4ea" ns3:_="">
    <xsd:import namespace="dcee36cd-3148-4f5a-9061-5391a713f9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e36cd-3148-4f5a-9061-5391a713f9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939A3D-6533-4F18-BF1C-0B0C70B24F26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dcee36cd-3148-4f5a-9061-5391a713f90c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CFD9E75-36A1-4DBE-8DB2-1CDC4ED44C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E150C-A5B1-40DC-AD61-2A129A7600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ee36cd-3148-4f5a-9061-5391a713f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 de Validação</vt:lpstr>
      <vt:lpstr>Dicionário de KPIs</vt:lpstr>
      <vt:lpstr>Dados </vt:lpstr>
      <vt:lpstr>Explicação dos cenários</vt:lpstr>
      <vt:lpstr>Dashboard</vt:lpstr>
      <vt:lpstr>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Macedo da Silva - 25027387</dc:creator>
  <cp:keywords/>
  <dc:description/>
  <cp:lastModifiedBy>Stephanie Macedo da Silva</cp:lastModifiedBy>
  <cp:revision/>
  <dcterms:created xsi:type="dcterms:W3CDTF">2026-09-16T01:04:13Z</dcterms:created>
  <dcterms:modified xsi:type="dcterms:W3CDTF">2026-10-30T22:39:38Z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0x010100C43234B990D77749B28E15763916E2FE</vt:lpwstr>
  </property>
</Properties>
</file>